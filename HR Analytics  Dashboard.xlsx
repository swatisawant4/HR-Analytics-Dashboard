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wapnil Sawant\Downloads\"/>
    </mc:Choice>
  </mc:AlternateContent>
  <xr:revisionPtr revIDLastSave="0" documentId="13_ncr:1_{7AB296EF-D01F-4431-8888-04DA46F4D4B2}" xr6:coauthVersionLast="47" xr6:coauthVersionMax="47" xr10:uidLastSave="{00000000-0000-0000-0000-000000000000}"/>
  <bookViews>
    <workbookView xWindow="-108" yWindow="-108" windowWidth="23256" windowHeight="12456" firstSheet="4" activeTab="9" xr2:uid="{00000000-000D-0000-FFFF-FFFF00000000}"/>
  </bookViews>
  <sheets>
    <sheet name="KPI" sheetId="7" r:id="rId1"/>
    <sheet name="Rating" sheetId="9" r:id="rId2"/>
    <sheet name="Gender" sheetId="10" r:id="rId3"/>
    <sheet name="Education wise attrition" sheetId="11" r:id="rId4"/>
    <sheet name="Attrition by Job Role" sheetId="12" r:id="rId5"/>
    <sheet name="Attrition by Age group" sheetId="14" r:id="rId6"/>
    <sheet name="Attrition by Dept" sheetId="13" r:id="rId7"/>
    <sheet name="Marital Status" sheetId="15" r:id="rId8"/>
    <sheet name="Data" sheetId="1" r:id="rId9"/>
    <sheet name="Dashboard" sheetId="4" r:id="rId10"/>
  </sheets>
  <definedNames>
    <definedName name="_xlchart.v1.0" hidden="1">'Attrition by Job Role'!$D$4:$D$12</definedName>
    <definedName name="_xlchart.v1.1" hidden="1">'Attrition by Job Role'!$E$3</definedName>
    <definedName name="_xlchart.v1.2" hidden="1">'Attrition by Job Role'!$E$4:$E$12</definedName>
    <definedName name="_xlchart.v1.5" hidden="1">'Attrition by Job Role'!$D$4:$D$12</definedName>
    <definedName name="_xlchart.v1.6" hidden="1">'Attrition by Job Role'!$E$3</definedName>
    <definedName name="_xlchart.v1.7" hidden="1">'Attrition by Job Role'!$E$4:$E$12</definedName>
    <definedName name="_xlchart.v2.3" hidden="1">'Marital Status'!$D$4:$D$6</definedName>
    <definedName name="_xlchart.v2.4" hidden="1">'Marital Status'!$E$4:$E$6</definedName>
    <definedName name="_xlchart.v2.8" hidden="1">'Marital Status'!$D$4:$D$6</definedName>
    <definedName name="_xlchart.v2.9" hidden="1">'Marital Status'!$E$4:$E$6</definedName>
    <definedName name="Slicer_Department">#N/A</definedName>
    <definedName name="Slicer_Education_Field2">#N/A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D4" i="15" l="1"/>
  <c r="D5" i="15"/>
  <c r="D6" i="15"/>
  <c r="D5" i="12"/>
  <c r="D6" i="12"/>
  <c r="D7" i="12"/>
  <c r="D8" i="12"/>
  <c r="D9" i="12"/>
  <c r="D10" i="12"/>
  <c r="D11" i="12"/>
  <c r="D12" i="12"/>
  <c r="D4" i="12"/>
  <c r="E5" i="15"/>
  <c r="B7" i="9"/>
  <c r="E6" i="15"/>
  <c r="B6" i="9"/>
  <c r="E4" i="15"/>
  <c r="C8" i="7"/>
  <c r="E5" i="12"/>
  <c r="B8" i="7"/>
  <c r="E4" i="12"/>
  <c r="E6" i="12"/>
  <c r="A8" i="7"/>
  <c r="E7" i="12"/>
  <c r="E8" i="12"/>
  <c r="E9" i="12"/>
  <c r="E10" i="12"/>
  <c r="E11" i="12"/>
  <c r="E12" i="12"/>
  <c r="B9" i="10"/>
  <c r="B10" i="10"/>
  <c r="C9" i="10" l="1"/>
  <c r="C10" i="10"/>
  <c r="C6" i="9"/>
  <c r="C7" i="9"/>
  <c r="D8" i="7"/>
  <c r="E8" i="7"/>
</calcChain>
</file>

<file path=xl/sharedStrings.xml><?xml version="1.0" encoding="utf-8"?>
<sst xmlns="http://schemas.openxmlformats.org/spreadsheetml/2006/main" count="19215" uniqueCount="1570">
  <si>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</si>
  <si>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</si>
  <si>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</si>
  <si>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</si>
  <si>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</si>
  <si>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</si>
  <si>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</si>
  <si>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</si>
  <si>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</si>
  <si>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</si>
  <si>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</si>
  <si>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</si>
  <si>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</si>
  <si>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</si>
  <si>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</si>
  <si>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</si>
  <si>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</si>
  <si>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</si>
  <si>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</si>
  <si>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</si>
  <si>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</si>
  <si>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</si>
  <si>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</si>
  <si>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</si>
  <si>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</si>
  <si>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</si>
  <si>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</si>
  <si>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</si>
  <si>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</si>
  <si>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</si>
  <si>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</si>
  <si>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</si>
  <si>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</si>
  <si>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</si>
  <si>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</si>
  <si>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</si>
  <si>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</si>
  <si>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</si>
  <si>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</si>
  <si>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</si>
  <si>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</si>
  <si>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</si>
  <si>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</si>
  <si>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</si>
  <si>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</si>
  <si>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</si>
  <si>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</si>
  <si>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</si>
  <si>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</si>
  <si>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</si>
  <si>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</si>
  <si>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</si>
  <si>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</si>
  <si>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</si>
  <si>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</si>
  <si>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</si>
  <si>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</si>
  <si>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</si>
  <si>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</si>
  <si>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</si>
  <si>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</si>
  <si>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</si>
  <si>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</si>
  <si>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</si>
  <si>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</si>
  <si>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</si>
  <si>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</si>
  <si>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</si>
  <si>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</si>
  <si>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</si>
  <si>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</si>
  <si>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</si>
  <si>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</si>
  <si>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</si>
  <si>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</si>
  <si>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</si>
  <si>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</si>
  <si>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</si>
  <si>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</si>
  <si>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</si>
  <si>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</si>
  <si>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</si>
  <si>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</si>
  <si>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</si>
  <si>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</si>
  <si>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</si>
  <si>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</si>
  <si>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</si>
  <si>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</si>
  <si>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</si>
  <si>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</si>
  <si>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</si>
  <si>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</si>
  <si>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</si>
  <si>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</si>
  <si>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</si>
  <si>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</si>
  <si>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</si>
  <si>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</si>
  <si>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</si>
  <si>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</si>
  <si>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</si>
  <si>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</si>
  <si>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</si>
  <si>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</si>
  <si>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</si>
  <si>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</si>
  <si>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</si>
  <si>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</si>
  <si>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</si>
  <si>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</si>
  <si>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</si>
  <si>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</si>
  <si>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</si>
  <si>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</si>
  <si>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</si>
  <si>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</si>
  <si>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</si>
  <si>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</si>
  <si>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</si>
  <si>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</si>
  <si>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</si>
  <si>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</si>
  <si>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</si>
  <si>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</si>
  <si>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</si>
  <si>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</si>
  <si>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</si>
  <si>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</si>
  <si>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</si>
  <si>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</si>
  <si>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</si>
  <si>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</si>
  <si>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</si>
  <si>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</si>
  <si>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</si>
  <si>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</si>
  <si>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</si>
  <si>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</si>
  <si>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</si>
  <si>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</si>
  <si>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</si>
  <si>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</si>
  <si>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</si>
  <si>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</si>
  <si>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</si>
  <si>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</si>
  <si>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</si>
  <si>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</si>
  <si>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</si>
  <si>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</si>
  <si>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</si>
  <si>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</si>
  <si>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</si>
  <si>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</si>
  <si>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</si>
  <si>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</si>
  <si>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</si>
  <si>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</si>
  <si>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</si>
  <si>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</si>
  <si>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</si>
  <si>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</si>
  <si>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</si>
  <si>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</si>
  <si>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</si>
  <si>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</si>
  <si>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</si>
  <si>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</si>
  <si>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</si>
  <si>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</si>
  <si>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</si>
  <si>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</si>
  <si>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</si>
  <si>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</si>
  <si>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</si>
  <si>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</si>
  <si>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</si>
  <si>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</si>
  <si>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</si>
  <si>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</si>
  <si>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</si>
  <si>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</si>
  <si>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</si>
  <si>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</si>
  <si>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</si>
  <si>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</si>
  <si>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</si>
  <si>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</si>
  <si>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</si>
  <si>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</si>
  <si>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</si>
  <si>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</si>
  <si>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</si>
  <si>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</si>
  <si>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</si>
  <si>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</si>
  <si>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</si>
  <si>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</si>
  <si>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</si>
  <si>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</si>
  <si>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</si>
  <si>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</si>
  <si>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</si>
  <si>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</si>
  <si>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</si>
  <si>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</si>
  <si>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</si>
  <si>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</si>
  <si>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</si>
  <si>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</si>
  <si>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</si>
  <si>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</si>
  <si>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</si>
  <si>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</si>
  <si>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</si>
  <si>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</si>
  <si>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</si>
  <si>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</si>
  <si>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</si>
  <si>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</si>
  <si>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</si>
  <si>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</si>
  <si>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</si>
  <si>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</si>
  <si>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</si>
  <si>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</si>
  <si>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</si>
  <si>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</si>
  <si>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</si>
  <si>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</si>
  <si>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</si>
  <si>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</si>
  <si>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</si>
  <si>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</si>
  <si>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</si>
  <si>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</si>
  <si>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</si>
  <si>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</si>
  <si>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</si>
  <si>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</si>
  <si>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</si>
  <si>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</si>
  <si>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</si>
  <si>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</si>
  <si>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</si>
  <si>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</si>
  <si>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</si>
  <si>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</si>
  <si>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</si>
  <si>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</si>
  <si>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</si>
  <si>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</si>
  <si>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</si>
  <si>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</si>
  <si>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</si>
  <si>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</si>
  <si>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</si>
  <si>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</si>
  <si>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</si>
  <si>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</si>
  <si>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</si>
  <si>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</si>
  <si>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</si>
  <si>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</si>
  <si>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</si>
  <si>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</si>
  <si>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</si>
  <si>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</si>
  <si>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</si>
  <si>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</si>
  <si>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</si>
  <si>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</si>
  <si>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</si>
  <si>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</si>
  <si>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</si>
  <si>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</si>
  <si>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</si>
  <si>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</si>
  <si>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</si>
  <si>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</si>
  <si>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</si>
  <si>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</si>
  <si>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</si>
  <si>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</si>
  <si>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</si>
  <si>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</si>
  <si>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</si>
  <si>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</si>
  <si>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</si>
  <si>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</si>
  <si>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</si>
  <si>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</si>
  <si>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</si>
  <si>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</si>
  <si>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</si>
  <si>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</si>
  <si>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</si>
  <si>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</si>
  <si>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</si>
  <si>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</si>
  <si>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</si>
  <si>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</si>
  <si>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</si>
  <si>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</si>
  <si>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</si>
  <si>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</si>
  <si>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</si>
  <si>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</si>
  <si>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</si>
  <si>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</si>
  <si>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</si>
  <si>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</si>
  <si>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</si>
  <si>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</si>
  <si>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</si>
  <si>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</si>
  <si>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</si>
  <si>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</si>
  <si>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</si>
  <si>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</si>
  <si>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</si>
  <si>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</si>
  <si>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</si>
  <si>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</si>
  <si>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</si>
  <si>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</si>
  <si>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</si>
  <si>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</si>
  <si>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</si>
  <si>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</si>
  <si>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</si>
  <si>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</si>
  <si>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</si>
  <si>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</si>
  <si>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</si>
  <si>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</si>
  <si>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</si>
  <si>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</si>
  <si>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</si>
  <si>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</si>
  <si>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</si>
  <si>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</si>
  <si>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</si>
  <si>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</si>
  <si>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</si>
  <si>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</si>
  <si>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</si>
  <si>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</si>
  <si>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</si>
  <si>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</si>
  <si>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</si>
  <si>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</si>
  <si>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</si>
  <si>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</si>
  <si>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</si>
  <si>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</si>
  <si>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</si>
  <si>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</si>
  <si>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</si>
  <si>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</si>
  <si>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</si>
  <si>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</si>
  <si>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</si>
  <si>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</si>
  <si>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</si>
  <si>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</si>
  <si>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</si>
  <si>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</si>
  <si>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</si>
  <si>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</si>
  <si>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</si>
  <si>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</si>
  <si>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</si>
  <si>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</si>
  <si>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</si>
  <si>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</si>
  <si>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</si>
  <si>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</si>
  <si>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</si>
  <si>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</si>
  <si>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</si>
  <si>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</si>
  <si>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</si>
  <si>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</si>
  <si>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</si>
  <si>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</si>
  <si>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</si>
  <si>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</si>
  <si>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</si>
  <si>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</si>
  <si>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</si>
  <si>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</si>
  <si>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</si>
  <si>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</si>
  <si>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</si>
  <si>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</si>
  <si>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</si>
  <si>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</si>
  <si>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</si>
  <si>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</si>
  <si>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</si>
  <si>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</si>
  <si>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</si>
  <si>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</si>
  <si>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</si>
  <si>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</si>
  <si>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</si>
  <si>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</si>
  <si>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</si>
  <si>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</si>
  <si>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</si>
  <si>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</si>
  <si>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</si>
  <si>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</si>
  <si>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</si>
  <si>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</si>
  <si>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</si>
  <si>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</si>
  <si>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</si>
  <si>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</si>
  <si>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</si>
  <si>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</si>
  <si>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</si>
  <si>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</si>
  <si>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</si>
  <si>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</si>
  <si>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</si>
  <si>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</si>
  <si>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</si>
  <si>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</si>
  <si>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</si>
  <si>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</si>
  <si>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</si>
  <si>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</si>
  <si>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</si>
  <si>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</si>
  <si>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</si>
  <si>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</si>
  <si>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</si>
  <si>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</si>
  <si>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</si>
  <si>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</si>
  <si>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</si>
  <si>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</si>
  <si>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</si>
  <si>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</si>
  <si>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</si>
  <si>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</si>
  <si>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</si>
  <si>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</si>
  <si>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</si>
  <si>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</si>
  <si>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</si>
  <si>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</si>
  <si>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</si>
  <si>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</si>
  <si>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</si>
  <si>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</si>
  <si>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</si>
  <si>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</si>
  <si>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</si>
  <si>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</si>
  <si>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</si>
  <si>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</si>
  <si>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</si>
  <si>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</si>
  <si>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</si>
  <si>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</si>
  <si>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</si>
  <si>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</si>
  <si>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</si>
  <si>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</si>
  <si>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</si>
  <si>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</si>
  <si>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</si>
  <si>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</si>
  <si>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</si>
  <si>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</si>
  <si>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</si>
  <si>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</si>
  <si>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</si>
  <si>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</si>
  <si>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</si>
  <si>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</si>
  <si>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</si>
  <si>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</si>
  <si>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</si>
  <si>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</si>
  <si>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</si>
  <si>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</si>
  <si>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</si>
  <si>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</si>
  <si>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</si>
  <si>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</si>
  <si>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</si>
  <si>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</si>
  <si>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</si>
  <si>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</si>
  <si>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</si>
  <si>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</si>
  <si>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</si>
  <si>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</si>
  <si>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</si>
  <si>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</si>
  <si>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</si>
  <si>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</si>
  <si>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</si>
  <si>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</si>
  <si>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</si>
  <si>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</si>
  <si>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</si>
  <si>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</si>
  <si>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</si>
  <si>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</si>
  <si>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</si>
  <si>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</si>
  <si>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</si>
  <si>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</si>
  <si>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</si>
  <si>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</si>
  <si>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</si>
  <si>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</si>
  <si>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</si>
  <si>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</si>
  <si>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</si>
  <si>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</si>
  <si>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</si>
  <si>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</si>
  <si>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</si>
  <si>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</si>
  <si>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</si>
  <si>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</si>
  <si>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</si>
  <si>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</si>
  <si>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</si>
  <si>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</si>
  <si>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</si>
  <si>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</si>
  <si>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</si>
  <si>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</si>
  <si>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</si>
  <si>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</si>
  <si>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</si>
  <si>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</si>
  <si>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</si>
  <si>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</si>
  <si>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</si>
  <si>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</si>
  <si>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</si>
  <si>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</si>
  <si>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</si>
  <si>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</si>
  <si>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</si>
  <si>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</si>
  <si>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</si>
  <si>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</si>
  <si>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</si>
  <si>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</si>
  <si>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</si>
  <si>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</si>
  <si>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</si>
  <si>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</si>
  <si>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</si>
  <si>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</si>
  <si>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</si>
  <si>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</si>
  <si>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</si>
  <si>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</si>
  <si>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</si>
  <si>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</si>
  <si>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</si>
  <si>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</si>
  <si>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</si>
  <si>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</si>
  <si>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</si>
  <si>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</si>
  <si>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</si>
  <si>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</si>
  <si>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</si>
  <si>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</si>
  <si>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</si>
  <si>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</si>
  <si>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</si>
  <si>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</si>
  <si>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</si>
  <si>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</si>
  <si>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</si>
  <si>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</si>
  <si>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</si>
  <si>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</si>
  <si>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</si>
  <si>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</si>
  <si>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</si>
  <si>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</si>
  <si>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</si>
  <si>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</si>
  <si>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</si>
  <si>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</si>
  <si>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</si>
  <si>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</si>
  <si>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</si>
  <si>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</si>
  <si>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</si>
  <si>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</si>
  <si>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</si>
  <si>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</si>
  <si>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</si>
  <si>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</si>
  <si>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</si>
  <si>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</si>
  <si>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</si>
  <si>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</si>
  <si>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</si>
  <si>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</si>
  <si>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</si>
  <si>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</si>
  <si>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</si>
  <si>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</si>
  <si>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</si>
  <si>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</si>
  <si>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</si>
  <si>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</si>
  <si>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</si>
  <si>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</si>
  <si>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</si>
  <si>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</si>
  <si>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</si>
  <si>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</si>
  <si>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</si>
  <si>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</si>
  <si>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</si>
  <si>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</si>
  <si>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</si>
  <si>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</si>
  <si>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</si>
  <si>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</si>
  <si>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</si>
  <si>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</si>
  <si>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</si>
  <si>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</si>
  <si>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</si>
  <si>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</si>
  <si>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</si>
  <si>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</si>
  <si>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</si>
  <si>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</si>
  <si>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</si>
  <si>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</si>
  <si>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</si>
  <si>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</si>
  <si>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</si>
  <si>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</si>
  <si>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</si>
  <si>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</si>
  <si>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</si>
  <si>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</si>
  <si>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</si>
  <si>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</si>
  <si>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</si>
  <si>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</si>
  <si>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</si>
  <si>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</si>
  <si>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</si>
  <si>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</si>
  <si>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</si>
  <si>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</si>
  <si>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</si>
  <si>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</si>
  <si>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</si>
  <si>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</si>
  <si>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</si>
  <si>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</si>
  <si>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</si>
  <si>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</si>
  <si>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</si>
  <si>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</si>
  <si>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</si>
  <si>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</si>
  <si>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</si>
  <si>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</si>
  <si>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</si>
  <si>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</si>
  <si>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</si>
  <si>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</si>
  <si>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</si>
  <si>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</si>
  <si>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</si>
  <si>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</si>
  <si>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</si>
  <si>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</si>
  <si>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</si>
  <si>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</si>
  <si>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</si>
  <si>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</si>
  <si>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</si>
  <si>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</si>
  <si>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</si>
  <si>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</si>
  <si>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</si>
  <si>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</si>
  <si>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</si>
  <si>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</si>
  <si>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</si>
  <si>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</si>
  <si>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</si>
  <si>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</si>
  <si>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</si>
  <si>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</si>
  <si>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</si>
  <si>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</si>
  <si>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</si>
  <si>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</si>
  <si>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</si>
  <si>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</si>
  <si>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</si>
  <si>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</si>
  <si>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</si>
  <si>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</si>
  <si>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</si>
  <si>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</si>
  <si>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</si>
  <si>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</si>
  <si>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</si>
  <si>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</si>
  <si>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</si>
  <si>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</si>
  <si>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</si>
  <si>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</si>
  <si>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</si>
  <si>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</si>
  <si>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</si>
  <si>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</si>
  <si>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</si>
  <si>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</si>
  <si>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</si>
  <si>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</si>
  <si>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</si>
  <si>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</si>
  <si>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</si>
  <si>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</si>
  <si>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</si>
  <si>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</si>
  <si>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</si>
  <si>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</si>
  <si>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</si>
  <si>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</si>
  <si>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</si>
  <si>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</si>
  <si>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</si>
  <si>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</si>
  <si>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</si>
  <si>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</si>
  <si>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</si>
  <si>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</si>
  <si>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</si>
  <si>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</si>
  <si>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</si>
  <si>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</si>
  <si>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</si>
  <si>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</si>
  <si>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</si>
  <si>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</si>
  <si>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</si>
  <si>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</si>
  <si>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</si>
  <si>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</si>
  <si>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</si>
  <si>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</si>
  <si>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</si>
  <si>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</si>
  <si>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</si>
  <si>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</si>
  <si>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</si>
  <si>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</si>
  <si>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</si>
  <si>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</si>
  <si>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</si>
  <si>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</si>
  <si>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</si>
  <si>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</si>
  <si>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</si>
  <si>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</si>
  <si>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</si>
  <si>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</si>
  <si>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</si>
  <si>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</si>
  <si>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</si>
  <si>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</si>
  <si>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</si>
  <si>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</si>
  <si>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</si>
  <si>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</si>
  <si>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</si>
  <si>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</si>
  <si>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</si>
  <si>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</si>
  <si>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</si>
  <si>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</si>
  <si>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</si>
  <si>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</si>
  <si>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</si>
  <si>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</si>
  <si>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</si>
  <si>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</si>
  <si>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</si>
  <si>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</si>
  <si>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</si>
  <si>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</si>
  <si>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</si>
  <si>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</si>
  <si>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</si>
  <si>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</si>
  <si>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</si>
  <si>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</si>
  <si>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</si>
  <si>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</si>
  <si>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</si>
  <si>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</si>
  <si>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</si>
  <si>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</si>
  <si>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</si>
  <si>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</si>
  <si>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</si>
  <si>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</si>
  <si>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</si>
  <si>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</si>
  <si>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</si>
  <si>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</si>
  <si>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</si>
  <si>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</si>
  <si>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</si>
  <si>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</si>
  <si>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</si>
  <si>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</si>
  <si>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</si>
  <si>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</si>
  <si>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</si>
  <si>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</si>
  <si>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</si>
  <si>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</si>
  <si>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</si>
  <si>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</si>
  <si>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</si>
  <si>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</si>
  <si>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</si>
  <si>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</si>
  <si>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</si>
  <si>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</si>
  <si>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</si>
  <si>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</si>
  <si>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</si>
  <si>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</si>
  <si>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</si>
  <si>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</si>
  <si>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</si>
  <si>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</si>
  <si>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</si>
  <si>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</si>
  <si>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</si>
  <si>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</si>
  <si>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</si>
  <si>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</si>
  <si>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</si>
  <si>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</si>
  <si>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</si>
  <si>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</si>
  <si>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</si>
  <si>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</si>
  <si>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</si>
  <si>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</si>
  <si>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</si>
  <si>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</si>
  <si>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</si>
  <si>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</si>
  <si>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</si>
  <si>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</si>
  <si>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</si>
  <si>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</si>
  <si>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</si>
  <si>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</si>
  <si>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</si>
  <si>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</si>
  <si>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</si>
  <si>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</si>
  <si>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</si>
  <si>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</si>
  <si>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</si>
  <si>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</si>
  <si>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</si>
  <si>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</si>
  <si>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</si>
  <si>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</si>
  <si>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</si>
  <si>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</si>
  <si>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</si>
  <si>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</si>
  <si>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</si>
  <si>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</si>
  <si>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</si>
  <si>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</si>
  <si>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</si>
  <si>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</si>
  <si>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</si>
  <si>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</si>
  <si>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</si>
  <si>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</si>
  <si>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</si>
  <si>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</si>
  <si>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</si>
  <si>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</si>
  <si>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</si>
  <si>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</si>
  <si>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</si>
  <si>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</si>
  <si>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</si>
  <si>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</si>
  <si>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</si>
  <si>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</si>
  <si>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</si>
  <si>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</si>
  <si>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</si>
  <si>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</si>
  <si>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</si>
  <si>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</si>
  <si>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</si>
  <si>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</si>
  <si>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</si>
  <si>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</si>
  <si>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</si>
  <si>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</si>
  <si>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</si>
  <si>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</si>
  <si>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</si>
  <si>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</si>
  <si>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</si>
  <si>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</si>
  <si>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</si>
  <si>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</si>
  <si>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</si>
  <si>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</si>
  <si>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</si>
  <si>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</si>
  <si>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</si>
  <si>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</si>
  <si>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</si>
  <si>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</si>
  <si>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</si>
  <si>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</si>
  <si>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</si>
  <si>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</si>
  <si>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</si>
  <si>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</si>
  <si>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</si>
  <si>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</si>
  <si>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</si>
  <si>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</si>
  <si>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</si>
  <si>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</si>
  <si>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</si>
  <si>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</si>
  <si>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</si>
  <si>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</si>
  <si>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</si>
  <si>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</si>
  <si>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</si>
  <si>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</si>
  <si>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</si>
  <si>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</si>
  <si>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</si>
  <si>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</si>
  <si>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</si>
  <si>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</si>
  <si>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</si>
  <si>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</si>
  <si>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</si>
  <si>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</si>
  <si>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</si>
  <si>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</si>
  <si>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</si>
  <si>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</si>
  <si>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</si>
  <si>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</si>
  <si>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</si>
  <si>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</si>
  <si>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</si>
  <si>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</si>
  <si>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</si>
  <si>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</si>
  <si>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</si>
  <si>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</si>
  <si>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</si>
  <si>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</si>
  <si>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</si>
  <si>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</si>
  <si>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</si>
  <si>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</si>
  <si>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</si>
  <si>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</si>
  <si>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</si>
  <si>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</si>
  <si>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</si>
  <si>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</si>
  <si>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</si>
  <si>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</si>
  <si>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</si>
  <si>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</si>
  <si>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</si>
  <si>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</si>
  <si>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</si>
  <si>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</si>
  <si>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</si>
  <si>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</si>
  <si>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</si>
  <si>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</si>
  <si>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</si>
  <si>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</si>
  <si>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</si>
  <si>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</si>
  <si>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</si>
  <si>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</si>
  <si>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</si>
  <si>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</si>
  <si>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</si>
  <si>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</si>
  <si>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</si>
  <si>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</si>
  <si>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</si>
  <si>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</si>
  <si>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</si>
  <si>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</si>
  <si>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</si>
  <si>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</si>
  <si>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</si>
  <si>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</si>
  <si>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</si>
  <si>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</si>
  <si>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</si>
  <si>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</si>
  <si>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</si>
  <si>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</si>
  <si>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</si>
  <si>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</si>
  <si>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</si>
  <si>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</si>
  <si>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</si>
  <si>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</si>
  <si>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</si>
  <si>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</si>
  <si>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</si>
  <si>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</si>
  <si>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</si>
  <si>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</si>
  <si>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</si>
  <si>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</si>
  <si>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</si>
  <si>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</si>
  <si>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</si>
  <si>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</si>
  <si>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</si>
  <si>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</si>
  <si>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</si>
  <si>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</si>
  <si>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</si>
  <si>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</si>
  <si>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</si>
  <si>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</si>
  <si>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</si>
  <si>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</si>
  <si>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</si>
  <si>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</si>
  <si>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</si>
  <si>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</si>
  <si>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</si>
  <si>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</si>
  <si>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</si>
  <si>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</si>
  <si>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</si>
  <si>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</si>
  <si>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</si>
  <si>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</si>
  <si>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</si>
  <si>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</si>
  <si>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</si>
  <si>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</si>
  <si>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</si>
  <si>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</si>
  <si>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</si>
  <si>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</si>
  <si>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</si>
  <si>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</si>
  <si>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</si>
  <si>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</si>
  <si>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</si>
  <si>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</si>
  <si>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</si>
  <si>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</si>
  <si>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</si>
  <si>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</si>
  <si>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</si>
  <si>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</si>
  <si>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</si>
  <si>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</si>
  <si>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</si>
  <si>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</si>
  <si>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</si>
  <si>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</si>
  <si>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</si>
  <si>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</si>
  <si>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</si>
  <si>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</si>
  <si>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</si>
  <si>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</si>
  <si>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</si>
  <si>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</si>
  <si>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</si>
  <si>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</si>
  <si>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</si>
  <si>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</si>
  <si>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</si>
  <si>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</si>
  <si>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</si>
  <si>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</si>
  <si>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</si>
  <si>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</si>
  <si>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</si>
  <si>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</si>
  <si>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</si>
  <si>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</si>
  <si>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</si>
  <si>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</si>
  <si>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</si>
  <si>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</si>
  <si>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</si>
  <si>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</si>
  <si>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</si>
  <si>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</si>
  <si>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</si>
  <si>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</si>
  <si>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</si>
  <si>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</si>
  <si>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</si>
  <si>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</si>
  <si>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</si>
  <si>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</si>
  <si>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</si>
  <si>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</si>
  <si>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</si>
  <si>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</si>
  <si>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</si>
  <si>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</si>
  <si>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</si>
  <si>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</si>
  <si>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</si>
  <si>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</si>
  <si>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</si>
  <si>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</si>
  <si>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</si>
  <si>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</si>
  <si>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</si>
  <si>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</si>
  <si>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</si>
  <si>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</si>
  <si>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</si>
  <si>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</si>
  <si>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</si>
  <si>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</si>
  <si>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</si>
  <si>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</si>
  <si>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</si>
  <si>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</si>
  <si>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</si>
  <si>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</si>
  <si>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</si>
  <si>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</si>
  <si>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</si>
  <si>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</si>
  <si>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</si>
  <si>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</si>
  <si>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</si>
  <si>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</si>
  <si>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</si>
  <si>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</si>
  <si>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</si>
  <si>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</si>
  <si>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</si>
  <si>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</si>
  <si>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</si>
  <si>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</si>
  <si>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</si>
  <si>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</si>
  <si>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</si>
  <si>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</si>
  <si>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</si>
  <si>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</si>
  <si>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</si>
  <si>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</si>
  <si>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</si>
  <si>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</si>
  <si>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</si>
  <si>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</si>
  <si>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</si>
  <si>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</si>
  <si>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</si>
  <si>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</si>
  <si>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</si>
  <si>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</si>
  <si>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</si>
  <si>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</si>
  <si>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</si>
  <si>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</si>
  <si>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</si>
  <si>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</si>
  <si>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</si>
  <si>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</si>
  <si>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</si>
  <si>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</si>
  <si>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</si>
  <si>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</si>
  <si>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</si>
  <si>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</si>
  <si>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</si>
  <si>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</si>
  <si>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</si>
  <si>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</si>
  <si>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</si>
  <si>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</si>
  <si>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</si>
  <si>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</si>
  <si>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</si>
  <si>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</si>
  <si>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</si>
  <si>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</si>
  <si>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</si>
  <si>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</si>
  <si>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</si>
  <si>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</si>
  <si>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</si>
  <si>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</si>
  <si>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</si>
  <si>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</si>
  <si>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</si>
  <si>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</si>
  <si>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</si>
  <si>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</si>
  <si>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</si>
  <si>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</si>
  <si>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</si>
  <si>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</si>
  <si>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</si>
  <si>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</si>
  <si>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</si>
  <si>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</si>
  <si>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</si>
  <si>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</si>
  <si>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</si>
  <si>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</si>
  <si>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</si>
  <si>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</si>
  <si>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</si>
  <si>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</si>
  <si>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</si>
  <si>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</si>
  <si>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</si>
  <si>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</si>
  <si>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</si>
  <si>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</si>
  <si>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</si>
  <si>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</si>
  <si>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</si>
  <si>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</si>
  <si>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</si>
  <si>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</si>
  <si>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</si>
  <si>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</si>
  <si>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</si>
  <si>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</si>
  <si>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</si>
  <si>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</si>
  <si>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</si>
  <si>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</si>
  <si>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</si>
  <si>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</si>
  <si>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</si>
  <si>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</si>
  <si>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</si>
  <si>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</si>
  <si>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</si>
  <si>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</si>
  <si>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</si>
  <si>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</si>
  <si>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</si>
  <si>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</si>
  <si>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</si>
  <si>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</si>
  <si>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</si>
  <si>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</si>
  <si>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</si>
  <si>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</si>
  <si>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</si>
  <si>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</si>
  <si>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</si>
  <si>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</si>
  <si>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</si>
  <si>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</si>
  <si>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</si>
  <si>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</si>
  <si>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</si>
  <si>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</si>
  <si>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</si>
  <si>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</si>
  <si>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</si>
  <si>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</si>
  <si>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</si>
  <si>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</si>
  <si>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</si>
  <si>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</si>
  <si>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</si>
  <si>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</si>
  <si>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</si>
  <si>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</si>
  <si>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</si>
  <si>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</si>
  <si>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</si>
  <si>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</si>
  <si>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</si>
  <si>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</si>
  <si>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</si>
  <si>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</si>
  <si>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</si>
  <si>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</si>
  <si>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</si>
  <si>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</si>
  <si>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</si>
  <si>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</si>
  <si>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</si>
  <si>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</si>
  <si>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</si>
  <si>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</si>
  <si>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</si>
  <si>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</si>
  <si>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</si>
  <si>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</si>
  <si>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</si>
  <si>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</si>
  <si>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</si>
  <si>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</si>
  <si>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</si>
  <si>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</si>
  <si>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</si>
  <si>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</si>
  <si>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</si>
  <si>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</si>
  <si>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</si>
  <si>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</si>
  <si>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</si>
  <si>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</si>
  <si>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</si>
  <si>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</si>
  <si>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</si>
  <si>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</si>
  <si>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</si>
  <si>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</si>
  <si>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</si>
  <si>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</si>
  <si>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</si>
  <si>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</si>
  <si>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</si>
  <si>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</si>
  <si>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</si>
  <si>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</si>
  <si>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</si>
  <si>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</si>
  <si>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</si>
  <si>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</si>
  <si>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</si>
  <si>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</si>
  <si>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</si>
  <si>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</si>
  <si>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</si>
  <si>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</si>
  <si>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</si>
  <si>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</si>
  <si>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</si>
  <si>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</si>
  <si>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</si>
  <si>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</si>
  <si>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</si>
  <si>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</si>
  <si>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</si>
  <si>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</si>
  <si>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</si>
  <si>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</si>
  <si>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</si>
  <si>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</si>
  <si>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</si>
  <si>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</si>
  <si>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</si>
  <si>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</si>
  <si>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</si>
  <si>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</si>
  <si>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</si>
  <si>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</si>
  <si>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</si>
  <si>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</si>
  <si>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</si>
  <si>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</si>
  <si>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</si>
  <si>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</si>
  <si>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</si>
  <si>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</si>
  <si>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</si>
  <si>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</si>
  <si>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</si>
  <si>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</si>
  <si>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</si>
  <si>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</si>
  <si>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</si>
  <si>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</si>
  <si>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</si>
  <si>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</si>
  <si>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</si>
  <si>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</si>
  <si>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</si>
  <si>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</si>
  <si>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</si>
  <si>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</si>
  <si>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</si>
  <si>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</si>
  <si>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</si>
  <si>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</si>
  <si>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</si>
  <si>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</si>
  <si>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</si>
  <si>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</si>
  <si>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</si>
  <si>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</si>
  <si>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</si>
  <si>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</si>
  <si>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</si>
  <si>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</si>
  <si>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</si>
  <si>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</si>
  <si>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</si>
  <si>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</si>
  <si>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</si>
  <si>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</si>
  <si>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</si>
  <si>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</si>
  <si>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</si>
  <si>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</si>
  <si>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</si>
  <si>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</si>
  <si>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</si>
  <si>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</si>
  <si>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</si>
  <si>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</si>
  <si>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</si>
  <si>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</si>
  <si>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</si>
  <si>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</si>
  <si>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</si>
  <si>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</si>
  <si>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</si>
  <si>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</si>
  <si>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</si>
  <si>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</si>
  <si>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</si>
  <si>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</si>
  <si>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</si>
  <si>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</si>
  <si>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</si>
  <si>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</si>
  <si>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</si>
  <si>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</si>
  <si>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</si>
  <si>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</si>
  <si>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</si>
  <si>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</si>
  <si>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</si>
  <si>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</si>
  <si>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</si>
  <si>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</si>
  <si>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</si>
  <si>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</si>
  <si>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</si>
  <si>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</si>
  <si>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</si>
  <si>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</si>
  <si>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</si>
  <si>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</si>
  <si>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</si>
  <si>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</si>
  <si>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</si>
  <si>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</si>
  <si>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</si>
  <si>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</si>
  <si>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</si>
  <si>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</si>
  <si>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</si>
  <si>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</si>
  <si>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</si>
  <si>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</si>
  <si>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</si>
  <si>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</si>
  <si>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</si>
  <si>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</si>
  <si>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</si>
  <si>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</si>
  <si>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</si>
  <si>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</si>
  <si>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</si>
  <si>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</si>
  <si>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</si>
  <si>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</si>
  <si>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</si>
  <si>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</si>
  <si>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</si>
  <si>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</si>
  <si>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</si>
  <si>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</si>
  <si>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</si>
  <si>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</si>
  <si>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</si>
  <si>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</si>
  <si>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</si>
  <si>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</si>
  <si>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</si>
  <si>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</si>
  <si>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</si>
  <si>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</si>
  <si>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</si>
  <si>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</si>
  <si>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</si>
  <si>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</si>
  <si>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</si>
  <si>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</si>
  <si>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</si>
  <si>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</si>
  <si>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</si>
  <si>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</si>
  <si>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</si>
  <si>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</si>
  <si>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</si>
  <si>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</si>
  <si>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</si>
  <si>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</si>
  <si>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</si>
  <si>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</si>
  <si>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</si>
  <si>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</si>
  <si>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</si>
  <si>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</si>
  <si>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</si>
  <si>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</si>
  <si>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</si>
  <si>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</si>
  <si>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Active Employees</t>
  </si>
  <si>
    <t>Attrition Count</t>
  </si>
  <si>
    <t>Total Employees</t>
  </si>
  <si>
    <t>Average Age</t>
  </si>
  <si>
    <t>Attrition Rate</t>
  </si>
  <si>
    <t>Average of Job Satisfaction</t>
  </si>
  <si>
    <t>Rating</t>
  </si>
  <si>
    <t>Balance Rating</t>
  </si>
  <si>
    <t>Row Labels</t>
  </si>
  <si>
    <t>Grand Total</t>
  </si>
  <si>
    <t>Sum of Employee Count</t>
  </si>
  <si>
    <t>Count of CF_attrition counts</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</si>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</sst>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9" fontId="0" fillId="0" borderId="0" xfId="2" applyFont="1"/>
    <xf numFmtId="164" fontId="0" fillId="0" borderId="0" xfId="0" applyNumberFormat="1"/>
    <xf numFmtId="1" fontId="0" fillId="0" borderId="0" xfId="1" applyNumberFormat="1" applyFont="1"/>
    <xf numFmtId="10" fontId="0" fillId="0" borderId="0" xfId="2" applyNumberFormat="1" applyFont="1"/>
    <xf numFmtId="0" fontId="0" fillId="2" borderId="0" xfId="0" applyFill="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3" xfId="0" applyNumberFormat="1" applyBorder="1"/>
    <xf numFmtId="0" fontId="0" fillId="0" borderId="10" xfId="0" applyNumberFormat="1" applyBorder="1"/>
    <xf numFmtId="0" fontId="0" fillId="0" borderId="4" xfId="0" applyNumberFormat="1" applyBorder="1"/>
    <xf numFmtId="0" fontId="0" fillId="0" borderId="6" xfId="0" applyNumberFormat="1" applyBorder="1"/>
    <xf numFmtId="0" fontId="0" fillId="0" borderId="9" xfId="0" applyNumberFormat="1" applyBorder="1"/>
    <xf numFmtId="0" fontId="0" fillId="0" borderId="7" xfId="0" applyNumberFormat="1" applyBorder="1"/>
  </cellXfs>
  <cellStyles count="3">
    <cellStyle name="Currency" xfId="1" builtinId="4"/>
    <cellStyle name="Normal" xfId="0" builtinId="0"/>
    <cellStyle name="Percent" xfId="2" builtinId="5"/>
  </cellStyles>
  <dxfs count="9">
    <dxf>
      <numFmt numFmtId="164" formatCode="0.0"/>
    </dxf>
    <dxf>
      <numFmt numFmtId="164" formatCode="0.0"/>
    </dxf>
    <dxf>
      <numFmt numFmtId="164" formatCode="0.0"/>
    </dxf>
    <dxf>
      <numFmt numFmtId="164" formatCode="0.0"/>
    </dxf>
    <dxf>
      <numFmt numFmtId="164"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Slicer" pivot="0" table="0" count="4" xr9:uid="{D6173DBB-E074-4249-AFF5-497C545060D3}">
      <tableStyleElement type="wholeTable" dxfId="5"/>
    </tableStyle>
  </tableStyles>
  <colors>
    <mruColors>
      <color rgb="FFF79C8D"/>
      <color rgb="FFE06148"/>
      <color rgb="FFBF512F"/>
      <color rgb="FF8D3333"/>
      <color rgb="FF56A86A"/>
      <color rgb="FF305E3A"/>
      <color rgb="FFF8A2E6"/>
      <color rgb="FFDD55CA"/>
      <color rgb="FFB52DA2"/>
      <color rgb="FF270F26"/>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stop position="0">
                <color theme="0" tint="-0.34900967436750391"/>
              </stop>
              <stop position="1">
                <color theme="1" tint="0.3490096743675039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ED-4160-9C2A-9BBC0094B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ED-4160-9C2A-9BBC0094BBD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5424-4C07-8C4C-F6E2C2C5C5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E30-4D77-BB79-27F64CC39E22}"/>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C-7E30-4D77-BB79-27F64CC39E22}"/>
            </c:ext>
          </c:extLst>
        </c:ser>
        <c:dLbls>
          <c:showLegendKey val="0"/>
          <c:showVal val="0"/>
          <c:showCatName val="0"/>
          <c:showSerName val="0"/>
          <c:showPercent val="0"/>
          <c:showBubbleSize val="0"/>
        </c:dLbls>
        <c:gapWidth val="0"/>
        <c:overlap val="100"/>
        <c:axId val="1431350703"/>
        <c:axId val="1431347343"/>
      </c:barChart>
      <c:catAx>
        <c:axId val="1431350703"/>
        <c:scaling>
          <c:orientation val="minMax"/>
        </c:scaling>
        <c:delete val="1"/>
        <c:axPos val="l"/>
        <c:majorTickMark val="out"/>
        <c:minorTickMark val="none"/>
        <c:tickLblPos val="nextTo"/>
        <c:crossAx val="1431347343"/>
        <c:crosses val="autoZero"/>
        <c:auto val="1"/>
        <c:lblAlgn val="ctr"/>
        <c:lblOffset val="100"/>
        <c:noMultiLvlLbl val="0"/>
      </c:catAx>
      <c:valAx>
        <c:axId val="1431347343"/>
        <c:scaling>
          <c:orientation val="minMax"/>
          <c:max val="4"/>
        </c:scaling>
        <c:delete val="1"/>
        <c:axPos val="b"/>
        <c:numFmt formatCode="0.0" sourceLinked="1"/>
        <c:majorTickMark val="out"/>
        <c:minorTickMark val="none"/>
        <c:tickLblPos val="nextTo"/>
        <c:crossAx val="1431350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38-4485-9882-2F0E5B58A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38-4485-9882-2F0E5B58AA1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E428-4DEA-8D7E-196E4947B9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wise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AA-4B2B-BDC9-179A3D3A6AC5}"/>
            </c:ext>
          </c:extLst>
        </c:ser>
        <c:dLbls>
          <c:dLblPos val="outEnd"/>
          <c:showLegendKey val="0"/>
          <c:showVal val="1"/>
          <c:showCatName val="0"/>
          <c:showSerName val="0"/>
          <c:showPercent val="0"/>
          <c:showBubbleSize val="0"/>
        </c:dLbls>
        <c:gapWidth val="182"/>
        <c:axId val="1453880399"/>
        <c:axId val="1453885199"/>
      </c:barChart>
      <c:catAx>
        <c:axId val="1453880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85199"/>
        <c:crosses val="autoZero"/>
        <c:auto val="1"/>
        <c:lblAlgn val="ctr"/>
        <c:lblOffset val="100"/>
        <c:noMultiLvlLbl val="0"/>
      </c:catAx>
      <c:valAx>
        <c:axId val="1453885199"/>
        <c:scaling>
          <c:orientation val="minMax"/>
        </c:scaling>
        <c:delete val="1"/>
        <c:axPos val="b"/>
        <c:numFmt formatCode="General" sourceLinked="1"/>
        <c:majorTickMark val="out"/>
        <c:minorTickMark val="none"/>
        <c:tickLblPos val="nextTo"/>
        <c:crossAx val="145388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EEF-456B-AE0D-94E4F2AE8F60}"/>
            </c:ext>
          </c:extLst>
        </c:ser>
        <c:dLbls>
          <c:showLegendKey val="0"/>
          <c:showVal val="0"/>
          <c:showCatName val="0"/>
          <c:showSerName val="0"/>
          <c:showPercent val="0"/>
          <c:showBubbleSize val="0"/>
        </c:dLbls>
        <c:gapWidth val="219"/>
        <c:overlap val="-27"/>
        <c:axId val="362570319"/>
        <c:axId val="362575119"/>
      </c:barChart>
      <c:catAx>
        <c:axId val="36257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75119"/>
        <c:crosses val="autoZero"/>
        <c:auto val="1"/>
        <c:lblAlgn val="ctr"/>
        <c:lblOffset val="100"/>
        <c:noMultiLvlLbl val="0"/>
      </c:catAx>
      <c:valAx>
        <c:axId val="362575119"/>
        <c:scaling>
          <c:orientation val="minMax"/>
        </c:scaling>
        <c:delete val="1"/>
        <c:axPos val="l"/>
        <c:numFmt formatCode="General" sourceLinked="1"/>
        <c:majorTickMark val="out"/>
        <c:minorTickMark val="none"/>
        <c:tickLblPos val="nextTo"/>
        <c:crossAx val="3625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Dept!PivotTable6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'Attrition by Dept'!$B$3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D-45E1-9005-F3488B29F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D-45E1-9005-F3488B29F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D-45E1-9005-F3488B29FA10}"/>
              </c:ext>
            </c:extLst>
          </c:dPt>
          <c:cat>
            <c:strRef>
              <c:f>'Attrition by Dept'!$A$4:$A$7</c:f>
              <c:strCache>
                <c:ptCount val="3"/>
                <c:pt idx="0">
                  <c:v>HR</c:v>
                </c:pt>
                <c:pt idx="1">
                  <c:v>R&amp;D</c:v>
                </c:pt>
                <c:pt idx="2">
                  <c:v>Sales</c:v>
                </c:pt>
              </c:strCache>
            </c:strRef>
          </c:cat>
          <c:val>
            <c:numRef>
              <c:f>'Attrition by Dept'!$B$4:$B$7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435-493C-84D4-B482107095D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857669107151077"/>
          <c:y val="0.32462279371041924"/>
          <c:w val="0.12571861905419715"/>
          <c:h val="0.30963519468323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gradFill>
                <a:gsLst>
                  <a:gs pos="0">
                    <a:schemeClr val="accent4"/>
                  </a:gs>
                  <a:gs pos="100000">
                    <a:srgbClr val="00B050"/>
                  </a:gs>
                </a:gsLst>
                <a:lin ang="5400000" scaled="1"/>
              </a:gradFill>
              <a:ln w="19050">
                <a:noFill/>
              </a:ln>
              <a:effectLst/>
            </c:spPr>
            <c:extLst>
              <c:ext xmlns:c16="http://schemas.microsoft.com/office/drawing/2014/chart" uri="{C3380CC4-5D6E-409C-BE32-E72D297353CC}">
                <c16:uniqueId val="{00000001-E030-4D9C-8D87-51FDD2B49904}"/>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E030-4D9C-8D87-51FDD2B4990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E030-4D9C-8D87-51FDD2B4990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64406779661017"/>
          <c:y val="9.0468066491688537E-2"/>
          <c:w val="0.87570621468926557"/>
          <c:h val="0.63934426229508201"/>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C551-4459-B7F9-677B99C20A07}"/>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C551-4459-B7F9-677B99C20A07}"/>
            </c:ext>
          </c:extLst>
        </c:ser>
        <c:dLbls>
          <c:showLegendKey val="0"/>
          <c:showVal val="0"/>
          <c:showCatName val="0"/>
          <c:showSerName val="0"/>
          <c:showPercent val="0"/>
          <c:showBubbleSize val="0"/>
        </c:dLbls>
        <c:gapWidth val="0"/>
        <c:overlap val="100"/>
        <c:axId val="1431350703"/>
        <c:axId val="1431347343"/>
      </c:barChart>
      <c:catAx>
        <c:axId val="1431350703"/>
        <c:scaling>
          <c:orientation val="minMax"/>
        </c:scaling>
        <c:delete val="1"/>
        <c:axPos val="l"/>
        <c:majorTickMark val="out"/>
        <c:minorTickMark val="none"/>
        <c:tickLblPos val="nextTo"/>
        <c:crossAx val="1431347343"/>
        <c:crosses val="autoZero"/>
        <c:auto val="1"/>
        <c:lblAlgn val="ctr"/>
        <c:lblOffset val="100"/>
        <c:noMultiLvlLbl val="0"/>
      </c:catAx>
      <c:valAx>
        <c:axId val="1431347343"/>
        <c:scaling>
          <c:orientation val="minMax"/>
          <c:max val="4"/>
        </c:scaling>
        <c:delete val="1"/>
        <c:axPos val="b"/>
        <c:numFmt formatCode="0.0" sourceLinked="1"/>
        <c:majorTickMark val="out"/>
        <c:minorTickMark val="none"/>
        <c:tickLblPos val="nextTo"/>
        <c:crossAx val="1431350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572F4E"/>
                  </a:gs>
                  <a:gs pos="100000">
                    <a:srgbClr val="ED83E8"/>
                  </a:gs>
                </a:gsLst>
                <a:lin ang="10800000" scaled="0"/>
              </a:gradFill>
              <a:ln w="19050">
                <a:solidFill>
                  <a:schemeClr val="lt1"/>
                </a:solidFill>
              </a:ln>
              <a:effectLst/>
            </c:spPr>
            <c:extLst>
              <c:ext xmlns:c16="http://schemas.microsoft.com/office/drawing/2014/chart" uri="{C3380CC4-5D6E-409C-BE32-E72D297353CC}">
                <c16:uniqueId val="{00000001-1813-4189-9E98-B7874AE4F59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813-4189-9E98-B7874AE4F59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813-4189-9E98-B7874AE4F59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19A2-4200-B60A-E01CC37B8365}"/>
              </c:ext>
            </c:extLst>
          </c:dPt>
          <c:dPt>
            <c:idx val="1"/>
            <c:bubble3D val="0"/>
            <c:spPr>
              <a:gradFill>
                <a:gsLst>
                  <a:gs pos="0">
                    <a:schemeClr val="accent1">
                      <a:lumMod val="50000"/>
                    </a:schemeClr>
                  </a:gs>
                  <a:gs pos="100000">
                    <a:schemeClr val="accent5">
                      <a:lumMod val="75000"/>
                    </a:schemeClr>
                  </a:gs>
                </a:gsLst>
                <a:lin ang="10800000" scaled="0"/>
              </a:gradFill>
              <a:ln w="19050">
                <a:solidFill>
                  <a:schemeClr val="lt1"/>
                </a:solidFill>
              </a:ln>
              <a:effectLst/>
            </c:spPr>
            <c:extLst>
              <c:ext xmlns:c16="http://schemas.microsoft.com/office/drawing/2014/chart" uri="{C3380CC4-5D6E-409C-BE32-E72D297353CC}">
                <c16:uniqueId val="{00000003-19A2-4200-B60A-E01CC37B836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9A2-4200-B60A-E01CC37B836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wise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6FB-4FFB-A92C-8EA4D586A8E8}"/>
            </c:ext>
          </c:extLst>
        </c:ser>
        <c:dLbls>
          <c:dLblPos val="outEnd"/>
          <c:showLegendKey val="0"/>
          <c:showVal val="1"/>
          <c:showCatName val="0"/>
          <c:showSerName val="0"/>
          <c:showPercent val="0"/>
          <c:showBubbleSize val="0"/>
        </c:dLbls>
        <c:gapWidth val="75"/>
        <c:axId val="1453880399"/>
        <c:axId val="1453885199"/>
      </c:barChart>
      <c:catAx>
        <c:axId val="1453880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53885199"/>
        <c:crosses val="autoZero"/>
        <c:auto val="1"/>
        <c:lblAlgn val="ctr"/>
        <c:lblOffset val="100"/>
        <c:noMultiLvlLbl val="0"/>
      </c:catAx>
      <c:valAx>
        <c:axId val="1453885199"/>
        <c:scaling>
          <c:orientation val="minMax"/>
        </c:scaling>
        <c:delete val="1"/>
        <c:axPos val="b"/>
        <c:numFmt formatCode="General" sourceLinked="1"/>
        <c:majorTickMark val="out"/>
        <c:minorTickMark val="none"/>
        <c:tickLblPos val="nextTo"/>
        <c:crossAx val="145388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Dept!PivotTable6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0"/>
                </a:schemeClr>
              </a:gs>
              <a:gs pos="100000">
                <a:schemeClr val="accent6">
                  <a:lumMod val="75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11792A"/>
              </a:gs>
              <a:gs pos="100000">
                <a:srgbClr val="4CEE7E"/>
              </a:gs>
            </a:gsLst>
            <a:lin ang="0" scaled="0"/>
          </a:gradFill>
          <a:ln w="19050">
            <a:solidFill>
              <a:schemeClr val="lt1"/>
            </a:solidFill>
          </a:ln>
          <a:effectLst/>
        </c:spPr>
      </c:pivotFmt>
      <c:pivotFmt>
        <c:idx val="7"/>
        <c:spPr>
          <a:gradFill>
            <a:gsLst>
              <a:gs pos="0">
                <a:schemeClr val="accent2">
                  <a:lumMod val="50000"/>
                </a:schemeClr>
              </a:gs>
              <a:gs pos="73000">
                <a:schemeClr val="accent2">
                  <a:lumMod val="60000"/>
                  <a:lumOff val="40000"/>
                </a:schemeClr>
              </a:gs>
              <a:gs pos="39900">
                <a:schemeClr val="accent2">
                  <a:lumMod val="75000"/>
                </a:schemeClr>
              </a:gs>
              <a:gs pos="100000">
                <a:schemeClr val="accent2">
                  <a:lumMod val="20000"/>
                  <a:lumOff val="80000"/>
                </a:schemeClr>
              </a:gs>
            </a:gsLst>
            <a:lin ang="10800000" scaled="0"/>
          </a:gradFill>
          <a:ln w="19050">
            <a:solidFill>
              <a:schemeClr val="lt1"/>
            </a:solidFill>
          </a:ln>
          <a:effectLst/>
        </c:spPr>
      </c:pivotFmt>
      <c:pivotFmt>
        <c:idx val="8"/>
        <c:spPr>
          <a:gradFill>
            <a:gsLst>
              <a:gs pos="0">
                <a:schemeClr val="accent1">
                  <a:lumMod val="50000"/>
                </a:schemeClr>
              </a:gs>
              <a:gs pos="100000">
                <a:schemeClr val="accent1">
                  <a:lumMod val="60000"/>
                  <a:lumOff val="40000"/>
                </a:schemeClr>
              </a:gs>
            </a:gsLst>
            <a:lin ang="3000000" scaled="0"/>
          </a:gradFill>
          <a:ln w="19050">
            <a:solidFill>
              <a:schemeClr val="lt1"/>
            </a:solidFill>
          </a:ln>
          <a:effectLst/>
        </c:spPr>
      </c:pivotFmt>
    </c:pivotFmts>
    <c:plotArea>
      <c:layout/>
      <c:pieChart>
        <c:varyColors val="1"/>
        <c:ser>
          <c:idx val="0"/>
          <c:order val="0"/>
          <c:tx>
            <c:strRef>
              <c:f>'Attrition by Dept'!$B$3</c:f>
              <c:strCache>
                <c:ptCount val="1"/>
                <c:pt idx="0">
                  <c:v>Total</c:v>
                </c:pt>
              </c:strCache>
            </c:strRef>
          </c:tx>
          <c:spPr>
            <a:gradFill>
              <a:gsLst>
                <a:gs pos="0">
                  <a:schemeClr val="accent1">
                    <a:lumMod val="50000"/>
                  </a:schemeClr>
                </a:gs>
                <a:gs pos="100000">
                  <a:schemeClr val="accent6">
                    <a:lumMod val="75000"/>
                  </a:schemeClr>
                </a:gs>
              </a:gsLst>
              <a:lin ang="0" scaled="0"/>
            </a:gradFill>
          </c:spPr>
          <c:dPt>
            <c:idx val="0"/>
            <c:bubble3D val="0"/>
            <c:spPr>
              <a:gradFill>
                <a:gsLst>
                  <a:gs pos="0">
                    <a:srgbClr val="11792A"/>
                  </a:gs>
                  <a:gs pos="100000">
                    <a:srgbClr val="4CEE7E"/>
                  </a:gs>
                </a:gsLst>
                <a:lin ang="0" scaled="0"/>
              </a:gradFill>
              <a:ln w="19050">
                <a:solidFill>
                  <a:schemeClr val="lt1"/>
                </a:solidFill>
              </a:ln>
              <a:effectLst/>
            </c:spPr>
            <c:extLst>
              <c:ext xmlns:c16="http://schemas.microsoft.com/office/drawing/2014/chart" uri="{C3380CC4-5D6E-409C-BE32-E72D297353CC}">
                <c16:uniqueId val="{00000001-6CF0-4802-8CFB-738736804D03}"/>
              </c:ext>
            </c:extLst>
          </c:dPt>
          <c:dPt>
            <c:idx val="1"/>
            <c:bubble3D val="0"/>
            <c:spPr>
              <a:gradFill>
                <a:gsLst>
                  <a:gs pos="0">
                    <a:schemeClr val="accent2">
                      <a:lumMod val="50000"/>
                    </a:schemeClr>
                  </a:gs>
                  <a:gs pos="73000">
                    <a:schemeClr val="accent2">
                      <a:lumMod val="60000"/>
                      <a:lumOff val="40000"/>
                    </a:schemeClr>
                  </a:gs>
                  <a:gs pos="39900">
                    <a:schemeClr val="accent2">
                      <a:lumMod val="75000"/>
                    </a:schemeClr>
                  </a:gs>
                  <a:gs pos="100000">
                    <a:schemeClr val="accent2">
                      <a:lumMod val="20000"/>
                      <a:lumOff val="80000"/>
                    </a:schemeClr>
                  </a:gs>
                </a:gsLst>
                <a:lin ang="10800000" scaled="0"/>
              </a:gradFill>
              <a:ln w="19050">
                <a:solidFill>
                  <a:schemeClr val="lt1"/>
                </a:solidFill>
              </a:ln>
              <a:effectLst/>
            </c:spPr>
            <c:extLst>
              <c:ext xmlns:c16="http://schemas.microsoft.com/office/drawing/2014/chart" uri="{C3380CC4-5D6E-409C-BE32-E72D297353CC}">
                <c16:uniqueId val="{00000003-6CF0-4802-8CFB-738736804D03}"/>
              </c:ext>
            </c:extLst>
          </c:dPt>
          <c:dPt>
            <c:idx val="2"/>
            <c:bubble3D val="0"/>
            <c:spPr>
              <a:gradFill>
                <a:gsLst>
                  <a:gs pos="0">
                    <a:schemeClr val="accent1">
                      <a:lumMod val="50000"/>
                    </a:schemeClr>
                  </a:gs>
                  <a:gs pos="100000">
                    <a:schemeClr val="accent1">
                      <a:lumMod val="60000"/>
                      <a:lumOff val="40000"/>
                    </a:schemeClr>
                  </a:gs>
                </a:gsLst>
                <a:lin ang="3000000" scaled="0"/>
              </a:gradFill>
              <a:ln w="19050">
                <a:solidFill>
                  <a:schemeClr val="lt1"/>
                </a:solidFill>
              </a:ln>
              <a:effectLst/>
            </c:spPr>
            <c:extLst>
              <c:ext xmlns:c16="http://schemas.microsoft.com/office/drawing/2014/chart" uri="{C3380CC4-5D6E-409C-BE32-E72D297353CC}">
                <c16:uniqueId val="{00000005-6CF0-4802-8CFB-738736804D0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Dept'!$A$4:$A$7</c:f>
              <c:strCache>
                <c:ptCount val="3"/>
                <c:pt idx="0">
                  <c:v>HR</c:v>
                </c:pt>
                <c:pt idx="1">
                  <c:v>R&amp;D</c:v>
                </c:pt>
                <c:pt idx="2">
                  <c:v>Sales</c:v>
                </c:pt>
              </c:strCache>
            </c:strRef>
          </c:cat>
          <c:val>
            <c:numRef>
              <c:f>'Attrition by Dept'!$B$4:$B$7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CF0-4802-8CFB-738736804D0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991423842720311"/>
          <c:y val="0.28880197438006816"/>
          <c:w val="0.12571861905419715"/>
          <c:h val="0.3096351946832334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270F26"/>
              </a:gs>
              <a:gs pos="73000">
                <a:srgbClr val="DD55CA"/>
              </a:gs>
              <a:gs pos="39900">
                <a:srgbClr val="B52DA2"/>
              </a:gs>
              <a:gs pos="100000">
                <a:srgbClr val="F8A2E6"/>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270F26"/>
                </a:gs>
                <a:gs pos="73000">
                  <a:srgbClr val="DD55CA"/>
                </a:gs>
                <a:gs pos="39900">
                  <a:srgbClr val="B52DA2"/>
                </a:gs>
                <a:gs pos="100000">
                  <a:srgbClr val="F8A2E6"/>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118-4A85-BDD4-C09D089720A6}"/>
            </c:ext>
          </c:extLst>
        </c:ser>
        <c:dLbls>
          <c:dLblPos val="outEnd"/>
          <c:showLegendKey val="0"/>
          <c:showVal val="1"/>
          <c:showCatName val="0"/>
          <c:showSerName val="0"/>
          <c:showPercent val="0"/>
          <c:showBubbleSize val="0"/>
        </c:dLbls>
        <c:gapWidth val="105"/>
        <c:overlap val="-27"/>
        <c:axId val="362570319"/>
        <c:axId val="362575119"/>
      </c:barChart>
      <c:catAx>
        <c:axId val="36257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75119"/>
        <c:crosses val="autoZero"/>
        <c:auto val="1"/>
        <c:lblAlgn val="ctr"/>
        <c:lblOffset val="100"/>
        <c:noMultiLvlLbl val="0"/>
      </c:catAx>
      <c:valAx>
        <c:axId val="362575119"/>
        <c:scaling>
          <c:orientation val="minMax"/>
        </c:scaling>
        <c:delete val="1"/>
        <c:axPos val="l"/>
        <c:numFmt formatCode="General" sourceLinked="1"/>
        <c:majorTickMark val="out"/>
        <c:minorTickMark val="none"/>
        <c:tickLblPos val="nextTo"/>
        <c:crossAx val="3625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17998F0B-28A1-46D6-8D82-8B5642F9AD89}">
          <cx:tx>
            <cx:txData>
              <cx:f>_xlchart.v1.1</cx:f>
              <cx:v>Attrition 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4ABC0C72-83FB-432C-8F7E-2E6D32350055}">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17998F0B-28A1-46D6-8D82-8B5642F9AD89}">
          <cx:tx>
            <cx:txData>
              <cx:f>_xlchart.v1.6</cx:f>
              <cx:v>Attrition Count</cx:v>
            </cx:txData>
          </cx:tx>
          <cx:dataPt idx="2">
            <cx:spPr>
              <a:solidFill>
                <a:srgbClr val="4472C4">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4ABC0C72-83FB-432C-8F7E-2E6D32350055}">
          <cx:spPr>
            <a:gradFill>
              <a:gsLst>
                <a:gs pos="0">
                  <a:srgbClr val="8D3333"/>
                </a:gs>
                <a:gs pos="73000">
                  <a:srgbClr val="E06148"/>
                </a:gs>
                <a:gs pos="39900">
                  <a:srgbClr val="BF512F"/>
                </a:gs>
                <a:gs pos="100000">
                  <a:srgbClr val="F79C8D"/>
                </a:gs>
              </a:gsLst>
              <a:lin ang="0" scaled="0"/>
            </a:gradFill>
          </cx:spPr>
          <cx:dataLabels>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11430</xdr:colOff>
      <xdr:row>3</xdr:row>
      <xdr:rowOff>11430</xdr:rowOff>
    </xdr:from>
    <xdr:to>
      <xdr:col>9</xdr:col>
      <xdr:colOff>259080</xdr:colOff>
      <xdr:row>10</xdr:row>
      <xdr:rowOff>60960</xdr:rowOff>
    </xdr:to>
    <xdr:graphicFrame macro="">
      <xdr:nvGraphicFramePr>
        <xdr:cNvPr id="3" name="Chart 2">
          <a:extLst>
            <a:ext uri="{FF2B5EF4-FFF2-40B4-BE49-F238E27FC236}">
              <a16:creationId xmlns:a16="http://schemas.microsoft.com/office/drawing/2014/main" id="{9C39AF39-9A76-AA5C-DFD9-C6446DE52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175260</xdr:colOff>
      <xdr:row>2</xdr:row>
      <xdr:rowOff>175261</xdr:rowOff>
    </xdr:from>
    <xdr:to>
      <xdr:col>12</xdr:col>
      <xdr:colOff>662940</xdr:colOff>
      <xdr:row>10</xdr:row>
      <xdr:rowOff>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59DE7B1-FA53-40BB-338A-6E45A272FC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08620" y="5715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1200150</xdr:colOff>
      <xdr:row>16</xdr:row>
      <xdr:rowOff>15240</xdr:rowOff>
    </xdr:from>
    <xdr:to>
      <xdr:col>5</xdr:col>
      <xdr:colOff>281940</xdr:colOff>
      <xdr:row>21</xdr:row>
      <xdr:rowOff>68580</xdr:rowOff>
    </xdr:to>
    <xdr:graphicFrame macro="">
      <xdr:nvGraphicFramePr>
        <xdr:cNvPr id="5" name="Chart 4">
          <a:extLst>
            <a:ext uri="{FF2B5EF4-FFF2-40B4-BE49-F238E27FC236}">
              <a16:creationId xmlns:a16="http://schemas.microsoft.com/office/drawing/2014/main" id="{E1B371FC-CB8A-25FB-C04B-F37C1589F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571500</xdr:colOff>
      <xdr:row>11</xdr:row>
      <xdr:rowOff>137160</xdr:rowOff>
    </xdr:from>
    <xdr:to>
      <xdr:col>11</xdr:col>
      <xdr:colOff>388620</xdr:colOff>
      <xdr:row>25</xdr:row>
      <xdr:rowOff>59055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0B488E8C-4600-493A-D728-5AF6EBA9636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063740" y="2316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7</xdr:col>
      <xdr:colOff>487680</xdr:colOff>
      <xdr:row>15</xdr:row>
      <xdr:rowOff>120015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16F90535-4EDF-3C2C-E48C-2E8A2E1213D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564380" y="3962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14</xdr:row>
      <xdr:rowOff>190501</xdr:rowOff>
    </xdr:from>
    <xdr:to>
      <xdr:col>11</xdr:col>
      <xdr:colOff>114300</xdr:colOff>
      <xdr:row>18</xdr:row>
      <xdr:rowOff>76201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E21E606-AB46-24FE-D2A0-30912AD065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73240" y="2964181"/>
              <a:ext cx="182880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464820</xdr:colOff>
      <xdr:row>17</xdr:row>
      <xdr:rowOff>114300</xdr:rowOff>
    </xdr:from>
    <xdr:to>
      <xdr:col>1</xdr:col>
      <xdr:colOff>1493520</xdr:colOff>
      <xdr:row>23</xdr:row>
      <xdr:rowOff>125730</xdr:rowOff>
    </xdr:to>
    <xdr:graphicFrame macro="">
      <xdr:nvGraphicFramePr>
        <xdr:cNvPr id="4" name="Chart 3">
          <a:extLst>
            <a:ext uri="{FF2B5EF4-FFF2-40B4-BE49-F238E27FC236}">
              <a16:creationId xmlns:a16="http://schemas.microsoft.com/office/drawing/2014/main" id="{5CA762A4-4291-5BED-80BF-08E15B154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285750</xdr:colOff>
      <xdr:row>1</xdr:row>
      <xdr:rowOff>167640</xdr:rowOff>
    </xdr:from>
    <xdr:to>
      <xdr:col>7</xdr:col>
      <xdr:colOff>449580</xdr:colOff>
      <xdr:row>9</xdr:row>
      <xdr:rowOff>144780</xdr:rowOff>
    </xdr:to>
    <xdr:graphicFrame macro="">
      <xdr:nvGraphicFramePr>
        <xdr:cNvPr id="2" name="Chart 1">
          <a:extLst>
            <a:ext uri="{FF2B5EF4-FFF2-40B4-BE49-F238E27FC236}">
              <a16:creationId xmlns:a16="http://schemas.microsoft.com/office/drawing/2014/main" id="{B1AD004B-2FC5-9D12-F842-2CAA8BC06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259080</xdr:colOff>
      <xdr:row>2</xdr:row>
      <xdr:rowOff>64770</xdr:rowOff>
    </xdr:from>
    <xdr:to>
      <xdr:col>14</xdr:col>
      <xdr:colOff>247650</xdr:colOff>
      <xdr:row>12</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ED99AEB-AB42-52DF-E4EF-3C788BF737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51720" y="461010"/>
              <a:ext cx="3341370" cy="2053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514350</xdr:colOff>
      <xdr:row>6</xdr:row>
      <xdr:rowOff>175260</xdr:rowOff>
    </xdr:from>
    <xdr:to>
      <xdr:col>8</xdr:col>
      <xdr:colOff>472440</xdr:colOff>
      <xdr:row>16</xdr:row>
      <xdr:rowOff>152400</xdr:rowOff>
    </xdr:to>
    <xdr:graphicFrame macro="">
      <xdr:nvGraphicFramePr>
        <xdr:cNvPr id="3" name="Chart 2">
          <a:extLst>
            <a:ext uri="{FF2B5EF4-FFF2-40B4-BE49-F238E27FC236}">
              <a16:creationId xmlns:a16="http://schemas.microsoft.com/office/drawing/2014/main" id="{02F57064-57BE-F820-AA18-33E186BC7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6</xdr:row>
      <xdr:rowOff>0</xdr:rowOff>
    </xdr:from>
    <xdr:to>
      <xdr:col>15</xdr:col>
      <xdr:colOff>525780</xdr:colOff>
      <xdr:row>19</xdr:row>
      <xdr:rowOff>120015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9B465C24-5314-3782-0D00-FF5DA932D6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81260" y="11887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5</xdr:row>
      <xdr:rowOff>167640</xdr:rowOff>
    </xdr:from>
    <xdr:to>
      <xdr:col>12</xdr:col>
      <xdr:colOff>373380</xdr:colOff>
      <xdr:row>19</xdr:row>
      <xdr:rowOff>89535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5BD86F6F-8EA9-43FB-D191-8CB0294E91E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917180" y="11582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182880</xdr:colOff>
      <xdr:row>5</xdr:row>
      <xdr:rowOff>194310</xdr:rowOff>
    </xdr:from>
    <xdr:to>
      <xdr:col>8</xdr:col>
      <xdr:colOff>304800</xdr:colOff>
      <xdr:row>16</xdr:row>
      <xdr:rowOff>91440</xdr:rowOff>
    </xdr:to>
    <xdr:graphicFrame macro="">
      <xdr:nvGraphicFramePr>
        <xdr:cNvPr id="2" name="Chart 1">
          <a:extLst>
            <a:ext uri="{FF2B5EF4-FFF2-40B4-BE49-F238E27FC236}">
              <a16:creationId xmlns:a16="http://schemas.microsoft.com/office/drawing/2014/main" id="{872E3283-9F8C-282D-81F3-D8F729D56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449580</xdr:colOff>
      <xdr:row>9</xdr:row>
      <xdr:rowOff>30480</xdr:rowOff>
    </xdr:from>
    <xdr:to>
      <xdr:col>9</xdr:col>
      <xdr:colOff>118110</xdr:colOff>
      <xdr:row>19</xdr:row>
      <xdr:rowOff>3810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04DD3F5-ECC3-832F-FCA7-45DF2D9347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1813560"/>
              <a:ext cx="3021330" cy="1954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2</xdr:col>
      <xdr:colOff>425450</xdr:colOff>
      <xdr:row>1</xdr:row>
      <xdr:rowOff>107950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746250" y="3111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63952" y="1205502"/>
              <a:ext cx="13271273" cy="1009060"/>
              <a:chOff x="1864105" y="1205502"/>
              <a:chExt cx="13385420" cy="1009060"/>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64105" y="1205502"/>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614887</xdr:colOff>
      <xdr:row>6</xdr:row>
      <xdr:rowOff>170502</xdr:rowOff>
    </xdr:from>
    <xdr:to>
      <xdr:col>6</xdr:col>
      <xdr:colOff>292502</xdr:colOff>
      <xdr:row>8</xdr:row>
      <xdr:rowOff>128494</xdr:rowOff>
    </xdr:to>
    <xdr:sp macro="" textlink="">
      <xdr:nvSpPr>
        <xdr:cNvPr id="3" name="TextBox 2">
          <a:extLst>
            <a:ext uri="{FF2B5EF4-FFF2-40B4-BE49-F238E27FC236}">
              <a16:creationId xmlns:a16="http://schemas.microsoft.com/office/drawing/2014/main" id="{85E032CC-6143-3582-19A9-178A496ED3F7}"/>
            </a:ext>
          </a:extLst>
        </xdr:cNvPr>
        <xdr:cNvSpPr txBox="1"/>
      </xdr:nvSpPr>
      <xdr:spPr>
        <a:xfrm>
          <a:off x="1935687" y="1389702"/>
          <a:ext cx="2319215" cy="364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B13B1B"/>
              </a:solidFill>
              <a:latin typeface="Segoe UI Black" panose="020B0A02040204020203" pitchFamily="34" charset="0"/>
              <a:ea typeface="Segoe UI Black" panose="020B0A02040204020203" pitchFamily="34" charset="0"/>
            </a:rPr>
            <a:t>Total</a:t>
          </a:r>
          <a:r>
            <a:rPr lang="en-IN" sz="1800" baseline="0">
              <a:solidFill>
                <a:srgbClr val="B13B1B"/>
              </a:solidFill>
              <a:latin typeface="Segoe UI Black" panose="020B0A02040204020203" pitchFamily="34" charset="0"/>
              <a:ea typeface="Segoe UI Black" panose="020B0A02040204020203" pitchFamily="34" charset="0"/>
            </a:rPr>
            <a:t> Employees</a:t>
          </a:r>
          <a:endParaRPr lang="en-IN" sz="1800">
            <a:solidFill>
              <a:srgbClr val="B13B1B"/>
            </a:solidFill>
            <a:latin typeface="Segoe UI Black" panose="020B0A02040204020203" pitchFamily="34" charset="0"/>
            <a:ea typeface="Segoe UI Black" panose="020B0A02040204020203" pitchFamily="34" charset="0"/>
          </a:endParaRPr>
        </a:p>
      </xdr:txBody>
    </xdr:sp>
    <xdr:clientData/>
  </xdr:twoCellAnchor>
  <xdr:twoCellAnchor>
    <xdr:from>
      <xdr:col>3</xdr:col>
      <xdr:colOff>430881</xdr:colOff>
      <xdr:row>8</xdr:row>
      <xdr:rowOff>45571</xdr:rowOff>
    </xdr:from>
    <xdr:to>
      <xdr:col>5</xdr:col>
      <xdr:colOff>636034</xdr:colOff>
      <xdr:row>10</xdr:row>
      <xdr:rowOff>192740</xdr:rowOff>
    </xdr:to>
    <xdr:sp macro="" textlink="KPI!A8">
      <xdr:nvSpPr>
        <xdr:cNvPr id="5" name="TextBox 4">
          <a:extLst>
            <a:ext uri="{FF2B5EF4-FFF2-40B4-BE49-F238E27FC236}">
              <a16:creationId xmlns:a16="http://schemas.microsoft.com/office/drawing/2014/main" id="{D055898B-33C7-257D-5113-51543D19D8F6}"/>
            </a:ext>
          </a:extLst>
        </xdr:cNvPr>
        <xdr:cNvSpPr txBox="1"/>
      </xdr:nvSpPr>
      <xdr:spPr>
        <a:xfrm>
          <a:off x="2412081" y="1671171"/>
          <a:ext cx="1525953" cy="55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BD7E4C-ED47-45F7-98D3-23FACA401CE2}"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algn="ctr"/>
            <a:t>1470</a:t>
          </a:fld>
          <a:endParaRPr lang="en-IN" sz="2000">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304427</xdr:colOff>
      <xdr:row>6</xdr:row>
      <xdr:rowOff>152027</xdr:rowOff>
    </xdr:from>
    <xdr:to>
      <xdr:col>10</xdr:col>
      <xdr:colOff>631983</xdr:colOff>
      <xdr:row>8</xdr:row>
      <xdr:rowOff>135218</xdr:rowOff>
    </xdr:to>
    <xdr:sp macro="" textlink="">
      <xdr:nvSpPr>
        <xdr:cNvPr id="8" name="TextBox 7">
          <a:extLst>
            <a:ext uri="{FF2B5EF4-FFF2-40B4-BE49-F238E27FC236}">
              <a16:creationId xmlns:a16="http://schemas.microsoft.com/office/drawing/2014/main" id="{DA0C7F2F-6A46-4862-B93F-B091C06FD485}"/>
            </a:ext>
          </a:extLst>
        </xdr:cNvPr>
        <xdr:cNvSpPr txBox="1"/>
      </xdr:nvSpPr>
      <xdr:spPr>
        <a:xfrm>
          <a:off x="4927227" y="1371227"/>
          <a:ext cx="2308756" cy="389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B13B1B"/>
              </a:solidFill>
              <a:latin typeface="Segoe UI Black" panose="020B0A02040204020203" pitchFamily="34" charset="0"/>
              <a:ea typeface="Segoe UI Black" panose="020B0A02040204020203" pitchFamily="34" charset="0"/>
            </a:rPr>
            <a:t>Attrition</a:t>
          </a:r>
        </a:p>
      </xdr:txBody>
    </xdr:sp>
    <xdr:clientData/>
  </xdr:twoCellAnchor>
  <xdr:twoCellAnchor>
    <xdr:from>
      <xdr:col>7</xdr:col>
      <xdr:colOff>510387</xdr:colOff>
      <xdr:row>8</xdr:row>
      <xdr:rowOff>42783</xdr:rowOff>
    </xdr:from>
    <xdr:to>
      <xdr:col>10</xdr:col>
      <xdr:colOff>65598</xdr:colOff>
      <xdr:row>10</xdr:row>
      <xdr:rowOff>189952</xdr:rowOff>
    </xdr:to>
    <xdr:sp macro="" textlink="KPI!B8">
      <xdr:nvSpPr>
        <xdr:cNvPr id="9" name="TextBox 8">
          <a:extLst>
            <a:ext uri="{FF2B5EF4-FFF2-40B4-BE49-F238E27FC236}">
              <a16:creationId xmlns:a16="http://schemas.microsoft.com/office/drawing/2014/main" id="{2C25B95A-B36D-4916-B735-E97041B26205}"/>
            </a:ext>
          </a:extLst>
        </xdr:cNvPr>
        <xdr:cNvSpPr txBox="1"/>
      </xdr:nvSpPr>
      <xdr:spPr>
        <a:xfrm>
          <a:off x="5133187" y="1668383"/>
          <a:ext cx="1536411" cy="55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207E5A4-59A4-4651-AE7B-E6712D9276CF}"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237</a:t>
          </a:fld>
          <a:endParaRPr lang="en-IN"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456826</xdr:colOff>
      <xdr:row>6</xdr:row>
      <xdr:rowOff>140821</xdr:rowOff>
    </xdr:from>
    <xdr:to>
      <xdr:col>15</xdr:col>
      <xdr:colOff>134441</xdr:colOff>
      <xdr:row>8</xdr:row>
      <xdr:rowOff>146424</xdr:rowOff>
    </xdr:to>
    <xdr:sp macro="" textlink="">
      <xdr:nvSpPr>
        <xdr:cNvPr id="12" name="TextBox 11">
          <a:extLst>
            <a:ext uri="{FF2B5EF4-FFF2-40B4-BE49-F238E27FC236}">
              <a16:creationId xmlns:a16="http://schemas.microsoft.com/office/drawing/2014/main" id="{E5FEF1F9-E62E-45FE-A34D-28C228D92221}"/>
            </a:ext>
          </a:extLst>
        </xdr:cNvPr>
        <xdr:cNvSpPr txBox="1"/>
      </xdr:nvSpPr>
      <xdr:spPr>
        <a:xfrm>
          <a:off x="7721226" y="1360021"/>
          <a:ext cx="2319215" cy="412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B13B1B"/>
              </a:solidFill>
              <a:latin typeface="Segoe UI Black" panose="020B0A02040204020203" pitchFamily="34" charset="0"/>
              <a:ea typeface="Segoe UI Black" panose="020B0A02040204020203" pitchFamily="34" charset="0"/>
              <a:cs typeface="+mn-cs"/>
            </a:rPr>
            <a:t>Active</a:t>
          </a:r>
          <a:r>
            <a:rPr lang="en-IN" sz="1800" baseline="0">
              <a:solidFill>
                <a:srgbClr val="B13B1B"/>
              </a:solidFill>
              <a:latin typeface="Segoe UI Black" panose="020B0A02040204020203" pitchFamily="34" charset="0"/>
              <a:ea typeface="Segoe UI Black" panose="020B0A02040204020203" pitchFamily="34" charset="0"/>
            </a:rPr>
            <a:t> Employees</a:t>
          </a:r>
          <a:endParaRPr lang="en-IN" sz="1800">
            <a:solidFill>
              <a:srgbClr val="B13B1B"/>
            </a:solidFill>
            <a:latin typeface="Segoe UI Black" panose="020B0A02040204020203" pitchFamily="34" charset="0"/>
            <a:ea typeface="Segoe UI Black" panose="020B0A02040204020203" pitchFamily="34" charset="0"/>
          </a:endParaRPr>
        </a:p>
      </xdr:txBody>
    </xdr:sp>
    <xdr:clientData/>
  </xdr:twoCellAnchor>
  <xdr:twoCellAnchor>
    <xdr:from>
      <xdr:col>12</xdr:col>
      <xdr:colOff>255639</xdr:colOff>
      <xdr:row>8</xdr:row>
      <xdr:rowOff>33071</xdr:rowOff>
    </xdr:from>
    <xdr:to>
      <xdr:col>14</xdr:col>
      <xdr:colOff>460792</xdr:colOff>
      <xdr:row>10</xdr:row>
      <xdr:rowOff>180240</xdr:rowOff>
    </xdr:to>
    <xdr:sp macro="" textlink="KPI!D8">
      <xdr:nvSpPr>
        <xdr:cNvPr id="13" name="TextBox 12">
          <a:extLst>
            <a:ext uri="{FF2B5EF4-FFF2-40B4-BE49-F238E27FC236}">
              <a16:creationId xmlns:a16="http://schemas.microsoft.com/office/drawing/2014/main" id="{B9210C9F-C65B-4003-BDE0-ACE63EDDBD44}"/>
            </a:ext>
          </a:extLst>
        </xdr:cNvPr>
        <xdr:cNvSpPr txBox="1"/>
      </xdr:nvSpPr>
      <xdr:spPr>
        <a:xfrm>
          <a:off x="8180439" y="1658671"/>
          <a:ext cx="1525953" cy="55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B81CAC-0E1F-4B43-AFEB-BC3DD1BFEFE3}"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1233</a:t>
          </a:fld>
          <a:endParaRPr lang="en-IN"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261097</xdr:colOff>
      <xdr:row>6</xdr:row>
      <xdr:rowOff>142315</xdr:rowOff>
    </xdr:from>
    <xdr:to>
      <xdr:col>19</xdr:col>
      <xdr:colOff>588654</xdr:colOff>
      <xdr:row>8</xdr:row>
      <xdr:rowOff>159123</xdr:rowOff>
    </xdr:to>
    <xdr:sp macro="" textlink="">
      <xdr:nvSpPr>
        <xdr:cNvPr id="14" name="TextBox 13">
          <a:extLst>
            <a:ext uri="{FF2B5EF4-FFF2-40B4-BE49-F238E27FC236}">
              <a16:creationId xmlns:a16="http://schemas.microsoft.com/office/drawing/2014/main" id="{4E6E39AF-3D9E-44A8-AF40-D144A8894FAF}"/>
            </a:ext>
          </a:extLst>
        </xdr:cNvPr>
        <xdr:cNvSpPr txBox="1"/>
      </xdr:nvSpPr>
      <xdr:spPr>
        <a:xfrm>
          <a:off x="10827497" y="1361515"/>
          <a:ext cx="2308757" cy="42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B13B1B"/>
              </a:solidFill>
              <a:latin typeface="Segoe UI Black" panose="020B0A02040204020203" pitchFamily="34" charset="0"/>
              <a:ea typeface="Segoe UI Black" panose="020B0A02040204020203" pitchFamily="34" charset="0"/>
            </a:rPr>
            <a:t>Average</a:t>
          </a:r>
          <a:r>
            <a:rPr lang="en-IN" sz="1800" baseline="0">
              <a:solidFill>
                <a:srgbClr val="B13B1B"/>
              </a:solidFill>
              <a:latin typeface="Segoe UI Black" panose="020B0A02040204020203" pitchFamily="34" charset="0"/>
              <a:ea typeface="Segoe UI Black" panose="020B0A02040204020203" pitchFamily="34" charset="0"/>
            </a:rPr>
            <a:t> Age</a:t>
          </a:r>
          <a:endParaRPr lang="en-IN" sz="1800">
            <a:solidFill>
              <a:srgbClr val="B13B1B"/>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467056</xdr:colOff>
      <xdr:row>8</xdr:row>
      <xdr:rowOff>68184</xdr:rowOff>
    </xdr:from>
    <xdr:to>
      <xdr:col>19</xdr:col>
      <xdr:colOff>22268</xdr:colOff>
      <xdr:row>11</xdr:row>
      <xdr:rowOff>12153</xdr:rowOff>
    </xdr:to>
    <xdr:sp macro="" textlink="KPI!C8">
      <xdr:nvSpPr>
        <xdr:cNvPr id="15" name="TextBox 14">
          <a:extLst>
            <a:ext uri="{FF2B5EF4-FFF2-40B4-BE49-F238E27FC236}">
              <a16:creationId xmlns:a16="http://schemas.microsoft.com/office/drawing/2014/main" id="{B5110B54-F68E-487B-B16C-7FD6BAED003D}"/>
            </a:ext>
          </a:extLst>
        </xdr:cNvPr>
        <xdr:cNvSpPr txBox="1"/>
      </xdr:nvSpPr>
      <xdr:spPr>
        <a:xfrm>
          <a:off x="11033456" y="1693784"/>
          <a:ext cx="1536412" cy="55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AF54CF-FAC4-4BAF-9BA8-DB6C52903520}"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37</a:t>
          </a:fld>
          <a:endParaRPr lang="en-IN"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527796</xdr:colOff>
      <xdr:row>6</xdr:row>
      <xdr:rowOff>163233</xdr:rowOff>
    </xdr:from>
    <xdr:to>
      <xdr:col>24</xdr:col>
      <xdr:colOff>205412</xdr:colOff>
      <xdr:row>8</xdr:row>
      <xdr:rowOff>146424</xdr:rowOff>
    </xdr:to>
    <xdr:sp macro="" textlink="">
      <xdr:nvSpPr>
        <xdr:cNvPr id="16" name="TextBox 15">
          <a:extLst>
            <a:ext uri="{FF2B5EF4-FFF2-40B4-BE49-F238E27FC236}">
              <a16:creationId xmlns:a16="http://schemas.microsoft.com/office/drawing/2014/main" id="{0FE9E9E2-F1B3-41E2-85B4-3E35FBEE7078}"/>
            </a:ext>
          </a:extLst>
        </xdr:cNvPr>
        <xdr:cNvSpPr txBox="1"/>
      </xdr:nvSpPr>
      <xdr:spPr>
        <a:xfrm>
          <a:off x="13735796" y="1382433"/>
          <a:ext cx="2319216" cy="389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B13B1B"/>
              </a:solidFill>
              <a:latin typeface="Segoe UI Black" panose="020B0A02040204020203" pitchFamily="34" charset="0"/>
              <a:ea typeface="Segoe UI Black" panose="020B0A02040204020203" pitchFamily="34" charset="0"/>
            </a:rPr>
            <a:t>Attrition</a:t>
          </a:r>
          <a:r>
            <a:rPr lang="en-IN" sz="1800" baseline="0">
              <a:solidFill>
                <a:srgbClr val="B13B1B"/>
              </a:solidFill>
              <a:latin typeface="Segoe UI Black" panose="020B0A02040204020203" pitchFamily="34" charset="0"/>
              <a:ea typeface="Segoe UI Black" panose="020B0A02040204020203" pitchFamily="34" charset="0"/>
            </a:rPr>
            <a:t> Rate</a:t>
          </a:r>
          <a:endParaRPr lang="en-IN" sz="1800">
            <a:solidFill>
              <a:srgbClr val="B13B1B"/>
            </a:solidFill>
            <a:latin typeface="Segoe UI Black" panose="020B0A02040204020203" pitchFamily="34" charset="0"/>
            <a:ea typeface="Segoe UI Black" panose="020B0A02040204020203" pitchFamily="34" charset="0"/>
          </a:endParaRPr>
        </a:p>
      </xdr:txBody>
    </xdr:sp>
    <xdr:clientData/>
  </xdr:twoCellAnchor>
  <xdr:twoCellAnchor>
    <xdr:from>
      <xdr:col>21</xdr:col>
      <xdr:colOff>302703</xdr:colOff>
      <xdr:row>8</xdr:row>
      <xdr:rowOff>77896</xdr:rowOff>
    </xdr:from>
    <xdr:to>
      <xdr:col>23</xdr:col>
      <xdr:colOff>507856</xdr:colOff>
      <xdr:row>11</xdr:row>
      <xdr:rowOff>21865</xdr:rowOff>
    </xdr:to>
    <xdr:sp macro="" textlink="KPI!E8">
      <xdr:nvSpPr>
        <xdr:cNvPr id="17" name="TextBox 16">
          <a:extLst>
            <a:ext uri="{FF2B5EF4-FFF2-40B4-BE49-F238E27FC236}">
              <a16:creationId xmlns:a16="http://schemas.microsoft.com/office/drawing/2014/main" id="{E7688EF6-0E08-42DF-8E53-04FE261C9C35}"/>
            </a:ext>
          </a:extLst>
        </xdr:cNvPr>
        <xdr:cNvSpPr txBox="1"/>
      </xdr:nvSpPr>
      <xdr:spPr>
        <a:xfrm>
          <a:off x="14171103" y="1703496"/>
          <a:ext cx="1525953" cy="55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453510-79F2-4C66-A1A3-660122A084C5}"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16.12%</a:t>
          </a:fld>
          <a:endParaRPr lang="en-IN"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6</xdr:col>
      <xdr:colOff>84418</xdr:colOff>
      <xdr:row>7</xdr:row>
      <xdr:rowOff>747</xdr:rowOff>
    </xdr:from>
    <xdr:ext cx="333375" cy="314325"/>
    <xdr:pic>
      <xdr:nvPicPr>
        <xdr:cNvPr id="18" name="image4.png">
          <a:extLst>
            <a:ext uri="{FF2B5EF4-FFF2-40B4-BE49-F238E27FC236}">
              <a16:creationId xmlns:a16="http://schemas.microsoft.com/office/drawing/2014/main" id="{5FF16CD2-60E0-4669-B7CB-22D694268EE8}"/>
            </a:ext>
          </a:extLst>
        </xdr:cNvPr>
        <xdr:cNvPicPr preferRelativeResize="0"/>
      </xdr:nvPicPr>
      <xdr:blipFill>
        <a:blip xmlns:r="http://schemas.openxmlformats.org/officeDocument/2006/relationships" r:embed="rId1" cstate="print"/>
        <a:stretch>
          <a:fillRect/>
        </a:stretch>
      </xdr:blipFill>
      <xdr:spPr>
        <a:xfrm>
          <a:off x="4046818" y="1423147"/>
          <a:ext cx="333375" cy="314325"/>
        </a:xfrm>
        <a:prstGeom prst="rect">
          <a:avLst/>
        </a:prstGeom>
        <a:noFill/>
      </xdr:spPr>
    </xdr:pic>
    <xdr:clientData fLocksWithSheet="0"/>
  </xdr:oneCellAnchor>
  <xdr:oneCellAnchor>
    <xdr:from>
      <xdr:col>15</xdr:col>
      <xdr:colOff>9710</xdr:colOff>
      <xdr:row>6</xdr:row>
      <xdr:rowOff>125507</xdr:rowOff>
    </xdr:from>
    <xdr:ext cx="403411" cy="403412"/>
    <xdr:pic>
      <xdr:nvPicPr>
        <xdr:cNvPr id="19" name="image5.png">
          <a:extLst>
            <a:ext uri="{FF2B5EF4-FFF2-40B4-BE49-F238E27FC236}">
              <a16:creationId xmlns:a16="http://schemas.microsoft.com/office/drawing/2014/main" id="{7E1FB605-0B15-4467-9CA3-63A99071917B}"/>
            </a:ext>
          </a:extLst>
        </xdr:cNvPr>
        <xdr:cNvPicPr preferRelativeResize="0"/>
      </xdr:nvPicPr>
      <xdr:blipFill>
        <a:blip xmlns:r="http://schemas.openxmlformats.org/officeDocument/2006/relationships" r:embed="rId2" cstate="print"/>
        <a:stretch>
          <a:fillRect/>
        </a:stretch>
      </xdr:blipFill>
      <xdr:spPr>
        <a:xfrm>
          <a:off x="9915710" y="1344707"/>
          <a:ext cx="403411" cy="403412"/>
        </a:xfrm>
        <a:prstGeom prst="rect">
          <a:avLst/>
        </a:prstGeom>
        <a:noFill/>
      </xdr:spPr>
    </xdr:pic>
    <xdr:clientData fLocksWithSheet="0"/>
  </xdr:oneCellAnchor>
  <xdr:oneCellAnchor>
    <xdr:from>
      <xdr:col>19</xdr:col>
      <xdr:colOff>156882</xdr:colOff>
      <xdr:row>6</xdr:row>
      <xdr:rowOff>173317</xdr:rowOff>
    </xdr:from>
    <xdr:ext cx="448235" cy="381000"/>
    <xdr:pic>
      <xdr:nvPicPr>
        <xdr:cNvPr id="20" name="image6.png">
          <a:extLst>
            <a:ext uri="{FF2B5EF4-FFF2-40B4-BE49-F238E27FC236}">
              <a16:creationId xmlns:a16="http://schemas.microsoft.com/office/drawing/2014/main" id="{EEAD61C1-2DDC-4F4C-826D-F60686A636C8}"/>
            </a:ext>
          </a:extLst>
        </xdr:cNvPr>
        <xdr:cNvPicPr preferRelativeResize="0"/>
      </xdr:nvPicPr>
      <xdr:blipFill>
        <a:blip xmlns:r="http://schemas.openxmlformats.org/officeDocument/2006/relationships" r:embed="rId3" cstate="print"/>
        <a:stretch>
          <a:fillRect/>
        </a:stretch>
      </xdr:blipFill>
      <xdr:spPr>
        <a:xfrm>
          <a:off x="12704482" y="1392517"/>
          <a:ext cx="448235" cy="381000"/>
        </a:xfrm>
        <a:prstGeom prst="rect">
          <a:avLst/>
        </a:prstGeom>
        <a:noFill/>
      </xdr:spPr>
    </xdr:pic>
    <xdr:clientData fLocksWithSheet="0"/>
  </xdr:oneCellAnchor>
  <xdr:oneCellAnchor>
    <xdr:from>
      <xdr:col>10</xdr:col>
      <xdr:colOff>12700</xdr:colOff>
      <xdr:row>6</xdr:row>
      <xdr:rowOff>173317</xdr:rowOff>
    </xdr:from>
    <xdr:ext cx="485775" cy="400050"/>
    <xdr:pic>
      <xdr:nvPicPr>
        <xdr:cNvPr id="21" name="image7.png">
          <a:extLst>
            <a:ext uri="{FF2B5EF4-FFF2-40B4-BE49-F238E27FC236}">
              <a16:creationId xmlns:a16="http://schemas.microsoft.com/office/drawing/2014/main" id="{4817A337-15A1-4E79-B45D-528963D762FB}"/>
            </a:ext>
          </a:extLst>
        </xdr:cNvPr>
        <xdr:cNvPicPr preferRelativeResize="0"/>
      </xdr:nvPicPr>
      <xdr:blipFill>
        <a:blip xmlns:r="http://schemas.openxmlformats.org/officeDocument/2006/relationships" r:embed="rId4" cstate="print"/>
        <a:stretch>
          <a:fillRect/>
        </a:stretch>
      </xdr:blipFill>
      <xdr:spPr>
        <a:xfrm>
          <a:off x="6616700" y="1392517"/>
          <a:ext cx="485775" cy="400050"/>
        </a:xfrm>
        <a:prstGeom prst="rect">
          <a:avLst/>
        </a:prstGeom>
        <a:noFill/>
      </xdr:spPr>
    </xdr:pic>
    <xdr:clientData fLocksWithSheet="0"/>
  </xdr:oneCellAnchor>
  <xdr:oneCellAnchor>
    <xdr:from>
      <xdr:col>23</xdr:col>
      <xdr:colOff>488576</xdr:colOff>
      <xdr:row>6</xdr:row>
      <xdr:rowOff>194234</xdr:rowOff>
    </xdr:from>
    <xdr:ext cx="390525" cy="314325"/>
    <xdr:pic>
      <xdr:nvPicPr>
        <xdr:cNvPr id="22" name="image2.png">
          <a:extLst>
            <a:ext uri="{FF2B5EF4-FFF2-40B4-BE49-F238E27FC236}">
              <a16:creationId xmlns:a16="http://schemas.microsoft.com/office/drawing/2014/main" id="{CB7DD513-6728-4D69-A8C9-1CC541884297}"/>
            </a:ext>
          </a:extLst>
        </xdr:cNvPr>
        <xdr:cNvPicPr preferRelativeResize="0"/>
      </xdr:nvPicPr>
      <xdr:blipFill>
        <a:blip xmlns:r="http://schemas.openxmlformats.org/officeDocument/2006/relationships" r:embed="rId5" cstate="print"/>
        <a:stretch>
          <a:fillRect/>
        </a:stretch>
      </xdr:blipFill>
      <xdr:spPr>
        <a:xfrm>
          <a:off x="15677776" y="1413434"/>
          <a:ext cx="390525" cy="314325"/>
        </a:xfrm>
        <a:prstGeom prst="rect">
          <a:avLst/>
        </a:prstGeom>
        <a:noFill/>
      </xdr:spPr>
    </xdr:pic>
    <xdr:clientData fLocksWithSheet="0"/>
  </xdr:oneCellAnchor>
  <xdr:twoCellAnchor>
    <xdr:from>
      <xdr:col>4</xdr:col>
      <xdr:colOff>414617</xdr:colOff>
      <xdr:row>2</xdr:row>
      <xdr:rowOff>11206</xdr:rowOff>
    </xdr:from>
    <xdr:to>
      <xdr:col>15</xdr:col>
      <xdr:colOff>201705</xdr:colOff>
      <xdr:row>5</xdr:row>
      <xdr:rowOff>11206</xdr:rowOff>
    </xdr:to>
    <xdr:sp macro="" textlink="">
      <xdr:nvSpPr>
        <xdr:cNvPr id="23" name="TextBox 22">
          <a:extLst>
            <a:ext uri="{FF2B5EF4-FFF2-40B4-BE49-F238E27FC236}">
              <a16:creationId xmlns:a16="http://schemas.microsoft.com/office/drawing/2014/main" id="{7E92090A-005F-1D05-8E43-E89AFDD61DE2}"/>
            </a:ext>
          </a:extLst>
        </xdr:cNvPr>
        <xdr:cNvSpPr txBox="1"/>
      </xdr:nvSpPr>
      <xdr:spPr>
        <a:xfrm>
          <a:off x="3014382" y="392206"/>
          <a:ext cx="693644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700">
              <a:solidFill>
                <a:schemeClr val="accent5">
                  <a:lumMod val="75000"/>
                </a:schemeClr>
              </a:solidFill>
              <a:latin typeface="Segoe UI Black" panose="020B0A02040204020203" pitchFamily="34" charset="0"/>
              <a:ea typeface="Segoe UI Black" panose="020B0A02040204020203" pitchFamily="34" charset="0"/>
            </a:rPr>
            <a:t>HR ANALYTICS DASHBOARD</a:t>
          </a:r>
        </a:p>
      </xdr:txBody>
    </xdr:sp>
    <xdr:clientData/>
  </xdr:twoCellAnchor>
  <xdr:oneCellAnchor>
    <xdr:from>
      <xdr:col>3</xdr:col>
      <xdr:colOff>156882</xdr:colOff>
      <xdr:row>2</xdr:row>
      <xdr:rowOff>145677</xdr:rowOff>
    </xdr:from>
    <xdr:ext cx="542925" cy="523875"/>
    <xdr:pic>
      <xdr:nvPicPr>
        <xdr:cNvPr id="24" name="image1.png">
          <a:extLst>
            <a:ext uri="{FF2B5EF4-FFF2-40B4-BE49-F238E27FC236}">
              <a16:creationId xmlns:a16="http://schemas.microsoft.com/office/drawing/2014/main" id="{7EF3032A-C3E9-4C8B-91A6-F63A82951BD0}"/>
            </a:ext>
          </a:extLst>
        </xdr:cNvPr>
        <xdr:cNvPicPr preferRelativeResize="0"/>
      </xdr:nvPicPr>
      <xdr:blipFill>
        <a:blip xmlns:r="http://schemas.openxmlformats.org/officeDocument/2006/relationships" r:embed="rId6" cstate="print"/>
        <a:stretch>
          <a:fillRect/>
        </a:stretch>
      </xdr:blipFill>
      <xdr:spPr>
        <a:xfrm>
          <a:off x="2106706" y="526677"/>
          <a:ext cx="542925" cy="523875"/>
        </a:xfrm>
        <a:prstGeom prst="rect">
          <a:avLst/>
        </a:prstGeom>
        <a:noFill/>
      </xdr:spPr>
    </xdr:pic>
    <xdr:clientData fLocksWithSheet="0"/>
  </xdr:oneCellAnchor>
  <xdr:oneCellAnchor>
    <xdr:from>
      <xdr:col>15</xdr:col>
      <xdr:colOff>488950</xdr:colOff>
      <xdr:row>2</xdr:row>
      <xdr:rowOff>95250</xdr:rowOff>
    </xdr:from>
    <xdr:ext cx="723900" cy="628650"/>
    <xdr:pic>
      <xdr:nvPicPr>
        <xdr:cNvPr id="25" name="image3.png">
          <a:extLst>
            <a:ext uri="{FF2B5EF4-FFF2-40B4-BE49-F238E27FC236}">
              <a16:creationId xmlns:a16="http://schemas.microsoft.com/office/drawing/2014/main" id="{908F5766-0B18-4B51-9587-B28C5815EA37}"/>
            </a:ext>
          </a:extLst>
        </xdr:cNvPr>
        <xdr:cNvPicPr preferRelativeResize="0"/>
      </xdr:nvPicPr>
      <xdr:blipFill>
        <a:blip xmlns:r="http://schemas.openxmlformats.org/officeDocument/2006/relationships" r:embed="rId7" cstate="print"/>
        <a:stretch>
          <a:fillRect/>
        </a:stretch>
      </xdr:blipFill>
      <xdr:spPr>
        <a:xfrm>
          <a:off x="10394950" y="476250"/>
          <a:ext cx="723900" cy="628650"/>
        </a:xfrm>
        <a:prstGeom prst="rect">
          <a:avLst/>
        </a:prstGeom>
        <a:noFill/>
      </xdr:spPr>
    </xdr:pic>
    <xdr:clientData fLocksWithSheet="0"/>
  </xdr:oneCellAnchor>
  <xdr:twoCellAnchor>
    <xdr:from>
      <xdr:col>17</xdr:col>
      <xdr:colOff>158751</xdr:colOff>
      <xdr:row>1</xdr:row>
      <xdr:rowOff>158750</xdr:rowOff>
    </xdr:from>
    <xdr:to>
      <xdr:col>19</xdr:col>
      <xdr:colOff>393701</xdr:colOff>
      <xdr:row>6</xdr:row>
      <xdr:rowOff>152400</xdr:rowOff>
    </xdr:to>
    <xdr:sp macro="" textlink="">
      <xdr:nvSpPr>
        <xdr:cNvPr id="26" name="TextBox 25">
          <a:extLst>
            <a:ext uri="{FF2B5EF4-FFF2-40B4-BE49-F238E27FC236}">
              <a16:creationId xmlns:a16="http://schemas.microsoft.com/office/drawing/2014/main" id="{EA1289F7-F92B-41CA-A7B8-EC1313452F26}"/>
            </a:ext>
          </a:extLst>
        </xdr:cNvPr>
        <xdr:cNvSpPr txBox="1"/>
      </xdr:nvSpPr>
      <xdr:spPr>
        <a:xfrm>
          <a:off x="11385551" y="349250"/>
          <a:ext cx="15557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B13B1B"/>
              </a:solidFill>
              <a:latin typeface="Segoe UI Black" panose="020B0A02040204020203" pitchFamily="34" charset="0"/>
              <a:ea typeface="Segoe UI Black" panose="020B0A02040204020203" pitchFamily="34" charset="0"/>
            </a:rPr>
            <a:t>JOB</a:t>
          </a:r>
        </a:p>
        <a:p>
          <a:pPr algn="ctr"/>
          <a:r>
            <a:rPr lang="en-IN" sz="1400" baseline="0">
              <a:solidFill>
                <a:srgbClr val="B13B1B"/>
              </a:solidFill>
              <a:latin typeface="Segoe UI Black" panose="020B0A02040204020203" pitchFamily="34" charset="0"/>
              <a:ea typeface="Segoe UI Black" panose="020B0A02040204020203" pitchFamily="34" charset="0"/>
            </a:rPr>
            <a:t>SATISFACTION</a:t>
          </a:r>
        </a:p>
        <a:p>
          <a:pPr algn="ctr"/>
          <a:r>
            <a:rPr lang="en-IN" sz="1400" baseline="0">
              <a:solidFill>
                <a:srgbClr val="B13B1B"/>
              </a:solidFill>
              <a:latin typeface="Segoe UI Black" panose="020B0A02040204020203" pitchFamily="34" charset="0"/>
              <a:ea typeface="Segoe UI Black" panose="020B0A02040204020203" pitchFamily="34" charset="0"/>
            </a:rPr>
            <a:t>RATING</a:t>
          </a:r>
        </a:p>
      </xdr:txBody>
    </xdr:sp>
    <xdr:clientData/>
  </xdr:twoCellAnchor>
  <xdr:twoCellAnchor>
    <xdr:from>
      <xdr:col>19</xdr:col>
      <xdr:colOff>381000</xdr:colOff>
      <xdr:row>1</xdr:row>
      <xdr:rowOff>139700</xdr:rowOff>
    </xdr:from>
    <xdr:to>
      <xdr:col>22</xdr:col>
      <xdr:colOff>38100</xdr:colOff>
      <xdr:row>6</xdr:row>
      <xdr:rowOff>76200</xdr:rowOff>
    </xdr:to>
    <xdr:graphicFrame macro="">
      <xdr:nvGraphicFramePr>
        <xdr:cNvPr id="27" name="Chart 26">
          <a:extLst>
            <a:ext uri="{FF2B5EF4-FFF2-40B4-BE49-F238E27FC236}">
              <a16:creationId xmlns:a16="http://schemas.microsoft.com/office/drawing/2014/main" id="{90289854-4CF3-449B-A70E-038680DBF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330200</xdr:colOff>
      <xdr:row>3</xdr:row>
      <xdr:rowOff>38100</xdr:rowOff>
    </xdr:from>
    <xdr:to>
      <xdr:col>21</xdr:col>
      <xdr:colOff>101600</xdr:colOff>
      <xdr:row>4</xdr:row>
      <xdr:rowOff>101600</xdr:rowOff>
    </xdr:to>
    <xdr:sp macro="" textlink="Rating!$B$6">
      <xdr:nvSpPr>
        <xdr:cNvPr id="28" name="TextBox 27">
          <a:extLst>
            <a:ext uri="{FF2B5EF4-FFF2-40B4-BE49-F238E27FC236}">
              <a16:creationId xmlns:a16="http://schemas.microsoft.com/office/drawing/2014/main" id="{E479551D-32DA-EFAA-2918-3DBE57815A35}"/>
            </a:ext>
          </a:extLst>
        </xdr:cNvPr>
        <xdr:cNvSpPr txBox="1"/>
      </xdr:nvSpPr>
      <xdr:spPr>
        <a:xfrm>
          <a:off x="13538200" y="609600"/>
          <a:ext cx="431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5765C8-63C7-413F-8C9D-6D3D743936F4}" type="TxLink">
            <a:rPr lang="en-US" sz="1200">
              <a:solidFill>
                <a:srgbClr val="B13B1B"/>
              </a:solidFill>
              <a:latin typeface="Segoe UI Black" panose="020B0A02040204020203" pitchFamily="34" charset="0"/>
              <a:ea typeface="Segoe UI Black" panose="020B0A02040204020203" pitchFamily="34" charset="0"/>
              <a:cs typeface="+mn-cs"/>
            </a:rPr>
            <a:pPr marL="0" indent="0"/>
            <a:t>2.6</a:t>
          </a:fld>
          <a:endParaRPr lang="en-IN" sz="12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xdr:from>
      <xdr:col>21</xdr:col>
      <xdr:colOff>127000</xdr:colOff>
      <xdr:row>2</xdr:row>
      <xdr:rowOff>165100</xdr:rowOff>
    </xdr:from>
    <xdr:to>
      <xdr:col>24</xdr:col>
      <xdr:colOff>215900</xdr:colOff>
      <xdr:row>5</xdr:row>
      <xdr:rowOff>152400</xdr:rowOff>
    </xdr:to>
    <xdr:graphicFrame macro="">
      <xdr:nvGraphicFramePr>
        <xdr:cNvPr id="55" name="Chart 54">
          <a:extLst>
            <a:ext uri="{FF2B5EF4-FFF2-40B4-BE49-F238E27FC236}">
              <a16:creationId xmlns:a16="http://schemas.microsoft.com/office/drawing/2014/main" id="{9D5E57CF-EBE9-459D-A5E9-A08D08CA7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342900</xdr:colOff>
      <xdr:row>2</xdr:row>
      <xdr:rowOff>152400</xdr:rowOff>
    </xdr:from>
    <xdr:to>
      <xdr:col>24</xdr:col>
      <xdr:colOff>304800</xdr:colOff>
      <xdr:row>5</xdr:row>
      <xdr:rowOff>52848</xdr:rowOff>
    </xdr:to>
    <xdr:sp macro="" textlink="">
      <xdr:nvSpPr>
        <xdr:cNvPr id="54" name="Freeform: Shape 53">
          <a:extLst>
            <a:ext uri="{FF2B5EF4-FFF2-40B4-BE49-F238E27FC236}">
              <a16:creationId xmlns:a16="http://schemas.microsoft.com/office/drawing/2014/main" id="{DA9D5B69-E008-D6EB-BFFD-5AF1A27D48E3}"/>
            </a:ext>
          </a:extLst>
        </xdr:cNvPr>
        <xdr:cNvSpPr/>
      </xdr:nvSpPr>
      <xdr:spPr>
        <a:xfrm>
          <a:off x="14211300" y="533400"/>
          <a:ext cx="1943100" cy="471948"/>
        </a:xfrm>
        <a:custGeom>
          <a:avLst/>
          <a:gdLst>
            <a:gd name="csX0" fmla="*/ 1386346 w 1640757"/>
            <a:gd name="csY0" fmla="*/ 79984 h 471948"/>
            <a:gd name="csX1" fmla="*/ 1346888 w 1640757"/>
            <a:gd name="csY1" fmla="*/ 203665 h 471948"/>
            <a:gd name="csX2" fmla="*/ 1219198 w 1640757"/>
            <a:gd name="csY2" fmla="*/ 203664 h 471948"/>
            <a:gd name="csX3" fmla="*/ 1322502 w 1640757"/>
            <a:gd name="csY3" fmla="*/ 280102 h 471948"/>
            <a:gd name="csX4" fmla="*/ 1283043 w 1640757"/>
            <a:gd name="csY4" fmla="*/ 403782 h 471948"/>
            <a:gd name="csX5" fmla="*/ 1386346 w 1640757"/>
            <a:gd name="csY5" fmla="*/ 327343 h 471948"/>
            <a:gd name="csX6" fmla="*/ 1489648 w 1640757"/>
            <a:gd name="csY6" fmla="*/ 403782 h 471948"/>
            <a:gd name="csX7" fmla="*/ 1450189 w 1640757"/>
            <a:gd name="csY7" fmla="*/ 280102 h 471948"/>
            <a:gd name="csX8" fmla="*/ 1553493 w 1640757"/>
            <a:gd name="csY8" fmla="*/ 203664 h 471948"/>
            <a:gd name="csX9" fmla="*/ 1425803 w 1640757"/>
            <a:gd name="csY9" fmla="*/ 203665 h 471948"/>
            <a:gd name="csX10" fmla="*/ 619431 w 1640757"/>
            <a:gd name="csY10" fmla="*/ 69657 h 471948"/>
            <a:gd name="csX11" fmla="*/ 579973 w 1640757"/>
            <a:gd name="csY11" fmla="*/ 193338 h 471948"/>
            <a:gd name="csX12" fmla="*/ 452283 w 1640757"/>
            <a:gd name="csY12" fmla="*/ 193337 h 471948"/>
            <a:gd name="csX13" fmla="*/ 555587 w 1640757"/>
            <a:gd name="csY13" fmla="*/ 269775 h 471948"/>
            <a:gd name="csX14" fmla="*/ 516128 w 1640757"/>
            <a:gd name="csY14" fmla="*/ 393455 h 471948"/>
            <a:gd name="csX15" fmla="*/ 619431 w 1640757"/>
            <a:gd name="csY15" fmla="*/ 317016 h 471948"/>
            <a:gd name="csX16" fmla="*/ 722733 w 1640757"/>
            <a:gd name="csY16" fmla="*/ 393455 h 471948"/>
            <a:gd name="csX17" fmla="*/ 683274 w 1640757"/>
            <a:gd name="csY17" fmla="*/ 269775 h 471948"/>
            <a:gd name="csX18" fmla="*/ 786578 w 1640757"/>
            <a:gd name="csY18" fmla="*/ 193337 h 471948"/>
            <a:gd name="csX19" fmla="*/ 658888 w 1640757"/>
            <a:gd name="csY19" fmla="*/ 193338 h 471948"/>
            <a:gd name="csX20" fmla="*/ 240887 w 1640757"/>
            <a:gd name="csY20" fmla="*/ 69656 h 471948"/>
            <a:gd name="csX21" fmla="*/ 201429 w 1640757"/>
            <a:gd name="csY21" fmla="*/ 193337 h 471948"/>
            <a:gd name="csX22" fmla="*/ 73739 w 1640757"/>
            <a:gd name="csY22" fmla="*/ 193336 h 471948"/>
            <a:gd name="csX23" fmla="*/ 177043 w 1640757"/>
            <a:gd name="csY23" fmla="*/ 269774 h 471948"/>
            <a:gd name="csX24" fmla="*/ 137584 w 1640757"/>
            <a:gd name="csY24" fmla="*/ 393454 h 471948"/>
            <a:gd name="csX25" fmla="*/ 240887 w 1640757"/>
            <a:gd name="csY25" fmla="*/ 317015 h 471948"/>
            <a:gd name="csX26" fmla="*/ 344189 w 1640757"/>
            <a:gd name="csY26" fmla="*/ 393454 h 471948"/>
            <a:gd name="csX27" fmla="*/ 304730 w 1640757"/>
            <a:gd name="csY27" fmla="*/ 269774 h 471948"/>
            <a:gd name="csX28" fmla="*/ 408034 w 1640757"/>
            <a:gd name="csY28" fmla="*/ 193336 h 471948"/>
            <a:gd name="csX29" fmla="*/ 280344 w 1640757"/>
            <a:gd name="csY29" fmla="*/ 193337 h 471948"/>
            <a:gd name="csX30" fmla="*/ 1007802 w 1640757"/>
            <a:gd name="csY30" fmla="*/ 69655 h 471948"/>
            <a:gd name="csX31" fmla="*/ 968344 w 1640757"/>
            <a:gd name="csY31" fmla="*/ 193336 h 471948"/>
            <a:gd name="csX32" fmla="*/ 840654 w 1640757"/>
            <a:gd name="csY32" fmla="*/ 193335 h 471948"/>
            <a:gd name="csX33" fmla="*/ 943958 w 1640757"/>
            <a:gd name="csY33" fmla="*/ 269773 h 471948"/>
            <a:gd name="csX34" fmla="*/ 904499 w 1640757"/>
            <a:gd name="csY34" fmla="*/ 393453 h 471948"/>
            <a:gd name="csX35" fmla="*/ 1007802 w 1640757"/>
            <a:gd name="csY35" fmla="*/ 317014 h 471948"/>
            <a:gd name="csX36" fmla="*/ 1111104 w 1640757"/>
            <a:gd name="csY36" fmla="*/ 393453 h 471948"/>
            <a:gd name="csX37" fmla="*/ 1071645 w 1640757"/>
            <a:gd name="csY37" fmla="*/ 269773 h 471948"/>
            <a:gd name="csX38" fmla="*/ 1174949 w 1640757"/>
            <a:gd name="csY38" fmla="*/ 193335 h 471948"/>
            <a:gd name="csX39" fmla="*/ 1047259 w 1640757"/>
            <a:gd name="csY39" fmla="*/ 193336 h 471948"/>
            <a:gd name="csX40" fmla="*/ 0 w 1640757"/>
            <a:gd name="csY40" fmla="*/ 0 h 471948"/>
            <a:gd name="csX41" fmla="*/ 1640757 w 1640757"/>
            <a:gd name="csY41" fmla="*/ 0 h 471948"/>
            <a:gd name="csX42" fmla="*/ 1640757 w 1640757"/>
            <a:gd name="csY42" fmla="*/ 471948 h 471948"/>
            <a:gd name="csX43" fmla="*/ 0 w 1640757"/>
            <a:gd name="csY43" fmla="*/ 471948 h 4719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40757" h="471948">
              <a:moveTo>
                <a:pt x="1386346" y="79984"/>
              </a:moveTo>
              <a:lnTo>
                <a:pt x="1346888" y="203665"/>
              </a:lnTo>
              <a:lnTo>
                <a:pt x="1219198" y="203664"/>
              </a:lnTo>
              <a:lnTo>
                <a:pt x="1322502" y="280102"/>
              </a:lnTo>
              <a:lnTo>
                <a:pt x="1283043" y="403782"/>
              </a:lnTo>
              <a:lnTo>
                <a:pt x="1386346" y="327343"/>
              </a:lnTo>
              <a:lnTo>
                <a:pt x="1489648" y="403782"/>
              </a:lnTo>
              <a:lnTo>
                <a:pt x="1450189" y="280102"/>
              </a:lnTo>
              <a:lnTo>
                <a:pt x="1553493" y="203664"/>
              </a:lnTo>
              <a:lnTo>
                <a:pt x="1425803" y="203665"/>
              </a:lnTo>
              <a:close/>
              <a:moveTo>
                <a:pt x="619431" y="69657"/>
              </a:moveTo>
              <a:lnTo>
                <a:pt x="579973" y="193338"/>
              </a:lnTo>
              <a:lnTo>
                <a:pt x="452283" y="193337"/>
              </a:lnTo>
              <a:lnTo>
                <a:pt x="555587" y="269775"/>
              </a:lnTo>
              <a:lnTo>
                <a:pt x="516128" y="393455"/>
              </a:lnTo>
              <a:lnTo>
                <a:pt x="619431" y="317016"/>
              </a:lnTo>
              <a:lnTo>
                <a:pt x="722733" y="393455"/>
              </a:lnTo>
              <a:lnTo>
                <a:pt x="683274" y="269775"/>
              </a:lnTo>
              <a:lnTo>
                <a:pt x="786578" y="193337"/>
              </a:lnTo>
              <a:lnTo>
                <a:pt x="658888" y="193338"/>
              </a:lnTo>
              <a:close/>
              <a:moveTo>
                <a:pt x="240887" y="69656"/>
              </a:moveTo>
              <a:lnTo>
                <a:pt x="201429" y="193337"/>
              </a:lnTo>
              <a:lnTo>
                <a:pt x="73739" y="193336"/>
              </a:lnTo>
              <a:lnTo>
                <a:pt x="177043" y="269774"/>
              </a:lnTo>
              <a:lnTo>
                <a:pt x="137584" y="393454"/>
              </a:lnTo>
              <a:lnTo>
                <a:pt x="240887" y="317015"/>
              </a:lnTo>
              <a:lnTo>
                <a:pt x="344189" y="393454"/>
              </a:lnTo>
              <a:lnTo>
                <a:pt x="304730" y="269774"/>
              </a:lnTo>
              <a:lnTo>
                <a:pt x="408034" y="193336"/>
              </a:lnTo>
              <a:lnTo>
                <a:pt x="280344" y="193337"/>
              </a:lnTo>
              <a:close/>
              <a:moveTo>
                <a:pt x="1007802" y="69655"/>
              </a:moveTo>
              <a:lnTo>
                <a:pt x="968344" y="193336"/>
              </a:lnTo>
              <a:lnTo>
                <a:pt x="840654" y="193335"/>
              </a:lnTo>
              <a:lnTo>
                <a:pt x="943958" y="269773"/>
              </a:lnTo>
              <a:lnTo>
                <a:pt x="904499" y="393453"/>
              </a:lnTo>
              <a:lnTo>
                <a:pt x="1007802" y="317014"/>
              </a:lnTo>
              <a:lnTo>
                <a:pt x="1111104" y="393453"/>
              </a:lnTo>
              <a:lnTo>
                <a:pt x="1071645" y="269773"/>
              </a:lnTo>
              <a:lnTo>
                <a:pt x="1174949" y="193335"/>
              </a:lnTo>
              <a:lnTo>
                <a:pt x="1047259" y="193336"/>
              </a:lnTo>
              <a:close/>
              <a:moveTo>
                <a:pt x="0" y="0"/>
              </a:moveTo>
              <a:lnTo>
                <a:pt x="1640757" y="0"/>
              </a:lnTo>
              <a:lnTo>
                <a:pt x="1640757" y="471948"/>
              </a:lnTo>
              <a:lnTo>
                <a:pt x="0" y="471948"/>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584200</xdr:colOff>
      <xdr:row>16</xdr:row>
      <xdr:rowOff>152400</xdr:rowOff>
    </xdr:from>
    <xdr:to>
      <xdr:col>9</xdr:col>
      <xdr:colOff>127000</xdr:colOff>
      <xdr:row>24</xdr:row>
      <xdr:rowOff>86475</xdr:rowOff>
    </xdr:to>
    <xdr:grpSp>
      <xdr:nvGrpSpPr>
        <xdr:cNvPr id="65" name="Group 64">
          <a:extLst>
            <a:ext uri="{FF2B5EF4-FFF2-40B4-BE49-F238E27FC236}">
              <a16:creationId xmlns:a16="http://schemas.microsoft.com/office/drawing/2014/main" id="{ED3E85B9-2694-34E5-6165-8A3B6653833D}"/>
            </a:ext>
          </a:extLst>
        </xdr:cNvPr>
        <xdr:cNvGrpSpPr/>
      </xdr:nvGrpSpPr>
      <xdr:grpSpPr>
        <a:xfrm>
          <a:off x="1905000" y="3403600"/>
          <a:ext cx="4165600" cy="1508875"/>
          <a:chOff x="1708150" y="3190875"/>
          <a:chExt cx="4185400" cy="1620000"/>
        </a:xfrm>
      </xdr:grpSpPr>
      <xdr:graphicFrame macro="">
        <xdr:nvGraphicFramePr>
          <xdr:cNvPr id="56" name="Chart 55">
            <a:extLst>
              <a:ext uri="{FF2B5EF4-FFF2-40B4-BE49-F238E27FC236}">
                <a16:creationId xmlns:a16="http://schemas.microsoft.com/office/drawing/2014/main" id="{9027D7EC-8A87-4249-92C1-E9533ED843A5}"/>
              </a:ext>
            </a:extLst>
          </xdr:cNvPr>
          <xdr:cNvGraphicFramePr>
            <a:graphicFrameLocks/>
          </xdr:cNvGraphicFramePr>
        </xdr:nvGraphicFramePr>
        <xdr:xfrm>
          <a:off x="1708150" y="3190875"/>
          <a:ext cx="1620000" cy="162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7" name="Chart 56">
            <a:extLst>
              <a:ext uri="{FF2B5EF4-FFF2-40B4-BE49-F238E27FC236}">
                <a16:creationId xmlns:a16="http://schemas.microsoft.com/office/drawing/2014/main" id="{11869E4F-D46F-4EF3-80C3-CF397527651C}"/>
              </a:ext>
            </a:extLst>
          </xdr:cNvPr>
          <xdr:cNvGraphicFramePr>
            <a:graphicFrameLocks/>
          </xdr:cNvGraphicFramePr>
        </xdr:nvGraphicFramePr>
        <xdr:xfrm>
          <a:off x="4273550" y="3190875"/>
          <a:ext cx="1620000" cy="162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9" name="Graphic 58" descr="Male profile with solid fill">
            <a:extLst>
              <a:ext uri="{FF2B5EF4-FFF2-40B4-BE49-F238E27FC236}">
                <a16:creationId xmlns:a16="http://schemas.microsoft.com/office/drawing/2014/main" id="{F472FAC7-6F43-CA6C-3EC2-23C9FC3297A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721100" y="3609262"/>
            <a:ext cx="792000" cy="792000"/>
          </a:xfrm>
          <a:prstGeom prst="rect">
            <a:avLst/>
          </a:prstGeom>
        </xdr:spPr>
      </xdr:pic>
      <xdr:pic>
        <xdr:nvPicPr>
          <xdr:cNvPr id="61" name="Graphic 60" descr="Female Profile with solid fill">
            <a:extLst>
              <a:ext uri="{FF2B5EF4-FFF2-40B4-BE49-F238E27FC236}">
                <a16:creationId xmlns:a16="http://schemas.microsoft.com/office/drawing/2014/main" id="{F5C8437B-14C9-C6E9-15EC-C8DBFEF4A2D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21800" y="3609262"/>
            <a:ext cx="792000" cy="792000"/>
          </a:xfrm>
          <a:prstGeom prst="rect">
            <a:avLst/>
          </a:prstGeom>
        </xdr:spPr>
      </xdr:pic>
      <xdr:sp macro="" textlink="Gender!C9">
        <xdr:nvSpPr>
          <xdr:cNvPr id="62" name="TextBox 61">
            <a:extLst>
              <a:ext uri="{FF2B5EF4-FFF2-40B4-BE49-F238E27FC236}">
                <a16:creationId xmlns:a16="http://schemas.microsoft.com/office/drawing/2014/main" id="{23A420A8-6B62-4BD3-B13A-EFF98B7E50C1}"/>
              </a:ext>
            </a:extLst>
          </xdr:cNvPr>
          <xdr:cNvSpPr txBox="1"/>
        </xdr:nvSpPr>
        <xdr:spPr>
          <a:xfrm>
            <a:off x="2146300" y="3746500"/>
            <a:ext cx="7239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83096D-6845-45B0-825D-2A5557DADAEC}" type="TxLink">
              <a:rPr lang="en-US" sz="1800" b="0" i="0" u="none" strike="noStrike">
                <a:solidFill>
                  <a:srgbClr val="0070C0"/>
                </a:solidFill>
                <a:latin typeface="Segoe UI Black" panose="020B0A02040204020203" pitchFamily="34" charset="0"/>
                <a:ea typeface="Segoe UI Black" panose="020B0A02040204020203" pitchFamily="34" charset="0"/>
                <a:cs typeface="Calibri"/>
              </a:rPr>
              <a:pPr marL="0" indent="0"/>
              <a:t>40%</a:t>
            </a:fld>
            <a:endParaRPr lang="en-IN" sz="1800">
              <a:solidFill>
                <a:srgbClr val="0070C0"/>
              </a:solidFill>
              <a:latin typeface="Segoe UI Black" panose="020B0A02040204020203" pitchFamily="34" charset="0"/>
              <a:ea typeface="Segoe UI Black" panose="020B0A02040204020203" pitchFamily="34" charset="0"/>
              <a:cs typeface="+mn-cs"/>
            </a:endParaRPr>
          </a:p>
        </xdr:txBody>
      </xdr:sp>
      <xdr:sp macro="" textlink="Gender!C10">
        <xdr:nvSpPr>
          <xdr:cNvPr id="63" name="TextBox 62">
            <a:extLst>
              <a:ext uri="{FF2B5EF4-FFF2-40B4-BE49-F238E27FC236}">
                <a16:creationId xmlns:a16="http://schemas.microsoft.com/office/drawing/2014/main" id="{200C6807-5369-47CD-8C12-00BA9A6BFD67}"/>
              </a:ext>
            </a:extLst>
          </xdr:cNvPr>
          <xdr:cNvSpPr txBox="1"/>
        </xdr:nvSpPr>
        <xdr:spPr>
          <a:xfrm>
            <a:off x="4724400" y="3771900"/>
            <a:ext cx="7239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0540BB-936D-41A5-9361-D9AC1B445496}" type="TxLink">
              <a:rPr lang="en-US" sz="1800" b="0" i="0" u="none" strike="noStrike">
                <a:solidFill>
                  <a:srgbClr val="0070C0"/>
                </a:solidFill>
                <a:latin typeface="Segoe UI Black" panose="020B0A02040204020203" pitchFamily="34" charset="0"/>
                <a:ea typeface="Segoe UI Black" panose="020B0A02040204020203" pitchFamily="34" charset="0"/>
                <a:cs typeface="Calibri"/>
              </a:rPr>
              <a:pPr marL="0" indent="0"/>
              <a:t>60%</a:t>
            </a:fld>
            <a:endParaRPr lang="en-IN" sz="1800" b="0" i="0" u="none" strike="noStrike">
              <a:solidFill>
                <a:srgbClr val="0070C0"/>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3</xdr:col>
      <xdr:colOff>0</xdr:colOff>
      <xdr:row>11</xdr:row>
      <xdr:rowOff>76200</xdr:rowOff>
    </xdr:from>
    <xdr:to>
      <xdr:col>8</xdr:col>
      <xdr:colOff>127000</xdr:colOff>
      <xdr:row>13</xdr:row>
      <xdr:rowOff>50800</xdr:rowOff>
    </xdr:to>
    <xdr:sp macro="" textlink="">
      <xdr:nvSpPr>
        <xdr:cNvPr id="66" name="TextBox 65">
          <a:extLst>
            <a:ext uri="{FF2B5EF4-FFF2-40B4-BE49-F238E27FC236}">
              <a16:creationId xmlns:a16="http://schemas.microsoft.com/office/drawing/2014/main" id="{5099E150-683B-F98B-FB62-EAA8020A23A1}"/>
            </a:ext>
          </a:extLst>
        </xdr:cNvPr>
        <xdr:cNvSpPr txBox="1"/>
      </xdr:nvSpPr>
      <xdr:spPr>
        <a:xfrm>
          <a:off x="1981200" y="2311400"/>
          <a:ext cx="3429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B13B1B"/>
              </a:solidFill>
              <a:latin typeface="Segoe UI Black" panose="020B0A02040204020203" pitchFamily="34" charset="0"/>
              <a:ea typeface="Segoe UI Black" panose="020B0A02040204020203" pitchFamily="34" charset="0"/>
              <a:cs typeface="+mn-cs"/>
            </a:rPr>
            <a:t>Total Employees By Gender</a:t>
          </a:r>
        </a:p>
      </xdr:txBody>
    </xdr:sp>
    <xdr:clientData/>
  </xdr:twoCellAnchor>
  <xdr:twoCellAnchor editAs="oneCell">
    <xdr:from>
      <xdr:col>4</xdr:col>
      <xdr:colOff>457200</xdr:colOff>
      <xdr:row>13</xdr:row>
      <xdr:rowOff>127000</xdr:rowOff>
    </xdr:from>
    <xdr:to>
      <xdr:col>7</xdr:col>
      <xdr:colOff>304800</xdr:colOff>
      <xdr:row>17</xdr:row>
      <xdr:rowOff>43180</xdr:rowOff>
    </xdr:to>
    <mc:AlternateContent xmlns:mc="http://schemas.openxmlformats.org/markup-compatibility/2006">
      <mc:Choice xmlns:a14="http://schemas.microsoft.com/office/drawing/2010/main" Requires="a14">
        <xdr:graphicFrame macro="">
          <xdr:nvGraphicFramePr>
            <xdr:cNvPr id="67" name="Gender 2">
              <a:extLst>
                <a:ext uri="{FF2B5EF4-FFF2-40B4-BE49-F238E27FC236}">
                  <a16:creationId xmlns:a16="http://schemas.microsoft.com/office/drawing/2014/main" id="{2678DF97-DE66-448E-8250-4EFA95A9A90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098800" y="2768600"/>
              <a:ext cx="1828800" cy="728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469900</xdr:colOff>
      <xdr:row>13</xdr:row>
      <xdr:rowOff>127000</xdr:rowOff>
    </xdr:from>
    <xdr:to>
      <xdr:col>17</xdr:col>
      <xdr:colOff>101600</xdr:colOff>
      <xdr:row>25</xdr:row>
      <xdr:rowOff>0</xdr:rowOff>
    </xdr:to>
    <xdr:graphicFrame macro="">
      <xdr:nvGraphicFramePr>
        <xdr:cNvPr id="68" name="Chart 67">
          <a:extLst>
            <a:ext uri="{FF2B5EF4-FFF2-40B4-BE49-F238E27FC236}">
              <a16:creationId xmlns:a16="http://schemas.microsoft.com/office/drawing/2014/main" id="{AB3299BD-1CFD-4BB5-99E1-266637B80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450850</xdr:colOff>
      <xdr:row>11</xdr:row>
      <xdr:rowOff>107950</xdr:rowOff>
    </xdr:from>
    <xdr:to>
      <xdr:col>14</xdr:col>
      <xdr:colOff>577850</xdr:colOff>
      <xdr:row>13</xdr:row>
      <xdr:rowOff>82550</xdr:rowOff>
    </xdr:to>
    <xdr:sp macro="" textlink="">
      <xdr:nvSpPr>
        <xdr:cNvPr id="69" name="TextBox 68">
          <a:extLst>
            <a:ext uri="{FF2B5EF4-FFF2-40B4-BE49-F238E27FC236}">
              <a16:creationId xmlns:a16="http://schemas.microsoft.com/office/drawing/2014/main" id="{D2F114DC-75EC-4738-A3E1-49410EC264EA}"/>
            </a:ext>
          </a:extLst>
        </xdr:cNvPr>
        <xdr:cNvSpPr txBox="1"/>
      </xdr:nvSpPr>
      <xdr:spPr>
        <a:xfrm>
          <a:off x="6394450" y="2343150"/>
          <a:ext cx="3429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B13B1B"/>
              </a:solidFill>
              <a:latin typeface="Segoe UI Black" panose="020B0A02040204020203" pitchFamily="34" charset="0"/>
              <a:ea typeface="Segoe UI Black" panose="020B0A02040204020203" pitchFamily="34" charset="0"/>
              <a:cs typeface="+mn-cs"/>
            </a:rPr>
            <a:t>Education</a:t>
          </a:r>
          <a:r>
            <a:rPr lang="en-IN" sz="1600" baseline="0">
              <a:solidFill>
                <a:srgbClr val="B13B1B"/>
              </a:solidFill>
              <a:latin typeface="Segoe UI Black" panose="020B0A02040204020203" pitchFamily="34" charset="0"/>
              <a:ea typeface="Segoe UI Black" panose="020B0A02040204020203" pitchFamily="34" charset="0"/>
              <a:cs typeface="+mn-cs"/>
            </a:rPr>
            <a:t> wise attrition</a:t>
          </a:r>
          <a:endParaRPr lang="en-IN" sz="16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17</xdr:col>
      <xdr:colOff>495300</xdr:colOff>
      <xdr:row>13</xdr:row>
      <xdr:rowOff>101600</xdr:rowOff>
    </xdr:from>
    <xdr:to>
      <xdr:col>24</xdr:col>
      <xdr:colOff>419100</xdr:colOff>
      <xdr:row>24</xdr:row>
      <xdr:rowOff>186690</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DDAFE703-D2F4-48C1-95DB-8F1DD3C90A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722100" y="2743200"/>
              <a:ext cx="4546600" cy="2269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488950</xdr:colOff>
      <xdr:row>11</xdr:row>
      <xdr:rowOff>95250</xdr:rowOff>
    </xdr:from>
    <xdr:to>
      <xdr:col>22</xdr:col>
      <xdr:colOff>615950</xdr:colOff>
      <xdr:row>13</xdr:row>
      <xdr:rowOff>69850</xdr:rowOff>
    </xdr:to>
    <xdr:sp macro="" textlink="">
      <xdr:nvSpPr>
        <xdr:cNvPr id="71" name="TextBox 70">
          <a:extLst>
            <a:ext uri="{FF2B5EF4-FFF2-40B4-BE49-F238E27FC236}">
              <a16:creationId xmlns:a16="http://schemas.microsoft.com/office/drawing/2014/main" id="{15EADB83-E885-44A8-911C-A2916B771ACA}"/>
            </a:ext>
          </a:extLst>
        </xdr:cNvPr>
        <xdr:cNvSpPr txBox="1"/>
      </xdr:nvSpPr>
      <xdr:spPr>
        <a:xfrm>
          <a:off x="11715750" y="2330450"/>
          <a:ext cx="3429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B13B1B"/>
              </a:solidFill>
              <a:latin typeface="Segoe UI Black" panose="020B0A02040204020203" pitchFamily="34" charset="0"/>
              <a:ea typeface="Segoe UI Black" panose="020B0A02040204020203" pitchFamily="34" charset="0"/>
              <a:cs typeface="+mn-cs"/>
            </a:rPr>
            <a:t>Attrition</a:t>
          </a:r>
          <a:r>
            <a:rPr lang="en-IN" sz="1600" baseline="0">
              <a:solidFill>
                <a:srgbClr val="B13B1B"/>
              </a:solidFill>
              <a:latin typeface="Segoe UI Black" panose="020B0A02040204020203" pitchFamily="34" charset="0"/>
              <a:ea typeface="Segoe UI Black" panose="020B0A02040204020203" pitchFamily="34" charset="0"/>
              <a:cs typeface="+mn-cs"/>
            </a:rPr>
            <a:t> by Job Role</a:t>
          </a:r>
          <a:endParaRPr lang="en-IN" sz="16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xdr:from>
      <xdr:col>2</xdr:col>
      <xdr:colOff>622300</xdr:colOff>
      <xdr:row>27</xdr:row>
      <xdr:rowOff>101600</xdr:rowOff>
    </xdr:from>
    <xdr:to>
      <xdr:col>8</xdr:col>
      <xdr:colOff>647700</xdr:colOff>
      <xdr:row>38</xdr:row>
      <xdr:rowOff>133350</xdr:rowOff>
    </xdr:to>
    <xdr:graphicFrame macro="">
      <xdr:nvGraphicFramePr>
        <xdr:cNvPr id="72" name="Chart 71">
          <a:extLst>
            <a:ext uri="{FF2B5EF4-FFF2-40B4-BE49-F238E27FC236}">
              <a16:creationId xmlns:a16="http://schemas.microsoft.com/office/drawing/2014/main" id="{6E5D139E-47ED-4A28-90CF-DAED461C1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19050</xdr:colOff>
      <xdr:row>25</xdr:row>
      <xdr:rowOff>57150</xdr:rowOff>
    </xdr:from>
    <xdr:to>
      <xdr:col>8</xdr:col>
      <xdr:colOff>146050</xdr:colOff>
      <xdr:row>27</xdr:row>
      <xdr:rowOff>31750</xdr:rowOff>
    </xdr:to>
    <xdr:sp macro="" textlink="">
      <xdr:nvSpPr>
        <xdr:cNvPr id="73" name="TextBox 72">
          <a:extLst>
            <a:ext uri="{FF2B5EF4-FFF2-40B4-BE49-F238E27FC236}">
              <a16:creationId xmlns:a16="http://schemas.microsoft.com/office/drawing/2014/main" id="{76F805A3-DCB2-4A2B-A2B5-1F665E1AD4E6}"/>
            </a:ext>
          </a:extLst>
        </xdr:cNvPr>
        <xdr:cNvSpPr txBox="1"/>
      </xdr:nvSpPr>
      <xdr:spPr>
        <a:xfrm>
          <a:off x="2000250" y="5073650"/>
          <a:ext cx="3429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rgbClr val="B13B1B"/>
              </a:solidFill>
              <a:latin typeface="Segoe UI Black" panose="020B0A02040204020203" pitchFamily="34" charset="0"/>
              <a:ea typeface="Segoe UI Black" panose="020B0A02040204020203" pitchFamily="34" charset="0"/>
              <a:cs typeface="+mn-cs"/>
            </a:rPr>
            <a:t>Department wise attrition</a:t>
          </a:r>
          <a:endParaRPr lang="en-IN" sz="16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381000</xdr:colOff>
      <xdr:row>27</xdr:row>
      <xdr:rowOff>114300</xdr:rowOff>
    </xdr:from>
    <xdr:to>
      <xdr:col>15</xdr:col>
      <xdr:colOff>50800</xdr:colOff>
      <xdr:row>38</xdr:row>
      <xdr:rowOff>167640</xdr:rowOff>
    </xdr:to>
    <xdr:graphicFrame macro="">
      <xdr:nvGraphicFramePr>
        <xdr:cNvPr id="74" name="Chart 73">
          <a:extLst>
            <a:ext uri="{FF2B5EF4-FFF2-40B4-BE49-F238E27FC236}">
              <a16:creationId xmlns:a16="http://schemas.microsoft.com/office/drawing/2014/main" id="{F2C0691F-E8E1-41D1-9BCC-C37EEA936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476250</xdr:colOff>
      <xdr:row>25</xdr:row>
      <xdr:rowOff>19050</xdr:rowOff>
    </xdr:from>
    <xdr:to>
      <xdr:col>14</xdr:col>
      <xdr:colOff>603250</xdr:colOff>
      <xdr:row>26</xdr:row>
      <xdr:rowOff>184150</xdr:rowOff>
    </xdr:to>
    <xdr:sp macro="" textlink="">
      <xdr:nvSpPr>
        <xdr:cNvPr id="75" name="TextBox 74">
          <a:extLst>
            <a:ext uri="{FF2B5EF4-FFF2-40B4-BE49-F238E27FC236}">
              <a16:creationId xmlns:a16="http://schemas.microsoft.com/office/drawing/2014/main" id="{C9C58FE7-CABB-4BB3-87F4-8492907A0BA2}"/>
            </a:ext>
          </a:extLst>
        </xdr:cNvPr>
        <xdr:cNvSpPr txBox="1"/>
      </xdr:nvSpPr>
      <xdr:spPr>
        <a:xfrm>
          <a:off x="6419850" y="5035550"/>
          <a:ext cx="3429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rgbClr val="B13B1B"/>
              </a:solidFill>
              <a:latin typeface="Segoe UI Black" panose="020B0A02040204020203" pitchFamily="34" charset="0"/>
              <a:ea typeface="Segoe UI Black" panose="020B0A02040204020203" pitchFamily="34" charset="0"/>
              <a:cs typeface="+mn-cs"/>
            </a:rPr>
            <a:t>Attrition by Age Group</a:t>
          </a:r>
          <a:endParaRPr lang="en-IN" sz="16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15</xdr:col>
      <xdr:colOff>355600</xdr:colOff>
      <xdr:row>27</xdr:row>
      <xdr:rowOff>88900</xdr:rowOff>
    </xdr:from>
    <xdr:to>
      <xdr:col>19</xdr:col>
      <xdr:colOff>584200</xdr:colOff>
      <xdr:row>38</xdr:row>
      <xdr:rowOff>113030</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D1F604C9-B6C4-424F-BA59-9D98E3199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261600" y="5486400"/>
              <a:ext cx="2870200" cy="2119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412750</xdr:colOff>
      <xdr:row>25</xdr:row>
      <xdr:rowOff>31750</xdr:rowOff>
    </xdr:from>
    <xdr:to>
      <xdr:col>20</xdr:col>
      <xdr:colOff>539750</xdr:colOff>
      <xdr:row>27</xdr:row>
      <xdr:rowOff>6350</xdr:rowOff>
    </xdr:to>
    <xdr:sp macro="" textlink="">
      <xdr:nvSpPr>
        <xdr:cNvPr id="77" name="TextBox 76">
          <a:extLst>
            <a:ext uri="{FF2B5EF4-FFF2-40B4-BE49-F238E27FC236}">
              <a16:creationId xmlns:a16="http://schemas.microsoft.com/office/drawing/2014/main" id="{F737B5E5-7042-4A98-A019-5DB2282E4679}"/>
            </a:ext>
          </a:extLst>
        </xdr:cNvPr>
        <xdr:cNvSpPr txBox="1"/>
      </xdr:nvSpPr>
      <xdr:spPr>
        <a:xfrm>
          <a:off x="10318750" y="5048250"/>
          <a:ext cx="3429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rgbClr val="B13B1B"/>
              </a:solidFill>
              <a:latin typeface="Segoe UI Black" panose="020B0A02040204020203" pitchFamily="34" charset="0"/>
              <a:ea typeface="Segoe UI Black" panose="020B0A02040204020203" pitchFamily="34" charset="0"/>
              <a:cs typeface="+mn-cs"/>
            </a:rPr>
            <a:t>Attrition by Marital Status</a:t>
          </a:r>
          <a:endParaRPr lang="en-IN" sz="1600">
            <a:solidFill>
              <a:srgbClr val="B13B1B"/>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23</xdr:col>
      <xdr:colOff>93980</xdr:colOff>
      <xdr:row>27</xdr:row>
      <xdr:rowOff>43181</xdr:rowOff>
    </xdr:from>
    <xdr:to>
      <xdr:col>24</xdr:col>
      <xdr:colOff>419100</xdr:colOff>
      <xdr:row>38</xdr:row>
      <xdr:rowOff>68581</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108D4324-E8B8-4E2D-9AA9-5C38F61B369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283180" y="5440681"/>
              <a:ext cx="985520" cy="212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27</xdr:row>
      <xdr:rowOff>50800</xdr:rowOff>
    </xdr:from>
    <xdr:to>
      <xdr:col>23</xdr:col>
      <xdr:colOff>76200</xdr:colOff>
      <xdr:row>38</xdr:row>
      <xdr:rowOff>88901</xdr:rowOff>
    </xdr:to>
    <mc:AlternateContent xmlns:mc="http://schemas.openxmlformats.org/markup-compatibility/2006">
      <mc:Choice xmlns:a14="http://schemas.microsoft.com/office/drawing/2010/main" Requires="a14">
        <xdr:graphicFrame macro="">
          <xdr:nvGraphicFramePr>
            <xdr:cNvPr id="7" name="Education Field 3">
              <a:extLst>
                <a:ext uri="{FF2B5EF4-FFF2-40B4-BE49-F238E27FC236}">
                  <a16:creationId xmlns:a16="http://schemas.microsoft.com/office/drawing/2014/main" id="{30E6EFBD-51FD-45CB-9154-D399F7255D4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550900" y="5448300"/>
              <a:ext cx="1714500" cy="2133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393700</xdr:colOff>
      <xdr:row>25</xdr:row>
      <xdr:rowOff>63500</xdr:rowOff>
    </xdr:from>
    <xdr:to>
      <xdr:col>22</xdr:col>
      <xdr:colOff>609600</xdr:colOff>
      <xdr:row>26</xdr:row>
      <xdr:rowOff>101600</xdr:rowOff>
    </xdr:to>
    <xdr:sp macro="" textlink="">
      <xdr:nvSpPr>
        <xdr:cNvPr id="10" name="TextBox 9">
          <a:extLst>
            <a:ext uri="{FF2B5EF4-FFF2-40B4-BE49-F238E27FC236}">
              <a16:creationId xmlns:a16="http://schemas.microsoft.com/office/drawing/2014/main" id="{35BBDC55-E377-67FB-687D-229BC8226426}"/>
            </a:ext>
          </a:extLst>
        </xdr:cNvPr>
        <xdr:cNvSpPr txBox="1"/>
      </xdr:nvSpPr>
      <xdr:spPr>
        <a:xfrm>
          <a:off x="13601700" y="5080000"/>
          <a:ext cx="1536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aseline="0">
              <a:solidFill>
                <a:srgbClr val="B13B1B"/>
              </a:solidFill>
              <a:latin typeface="Segoe UI Black" panose="020B0A02040204020203" pitchFamily="34" charset="0"/>
              <a:ea typeface="Segoe UI Black" panose="020B0A02040204020203" pitchFamily="34" charset="0"/>
              <a:cs typeface="+mn-cs"/>
            </a:rPr>
            <a:t>Education Field</a:t>
          </a:r>
        </a:p>
      </xdr:txBody>
    </xdr:sp>
    <xdr:clientData/>
  </xdr:twoCellAnchor>
  <xdr:twoCellAnchor>
    <xdr:from>
      <xdr:col>22</xdr:col>
      <xdr:colOff>647700</xdr:colOff>
      <xdr:row>25</xdr:row>
      <xdr:rowOff>63500</xdr:rowOff>
    </xdr:from>
    <xdr:to>
      <xdr:col>24</xdr:col>
      <xdr:colOff>508000</xdr:colOff>
      <xdr:row>26</xdr:row>
      <xdr:rowOff>139700</xdr:rowOff>
    </xdr:to>
    <xdr:sp macro="" textlink="">
      <xdr:nvSpPr>
        <xdr:cNvPr id="60" name="TextBox 59">
          <a:extLst>
            <a:ext uri="{FF2B5EF4-FFF2-40B4-BE49-F238E27FC236}">
              <a16:creationId xmlns:a16="http://schemas.microsoft.com/office/drawing/2014/main" id="{DA58250B-B4AD-4FE8-A312-F642847CB234}"/>
            </a:ext>
          </a:extLst>
        </xdr:cNvPr>
        <xdr:cNvSpPr txBox="1"/>
      </xdr:nvSpPr>
      <xdr:spPr>
        <a:xfrm>
          <a:off x="15176500" y="5080000"/>
          <a:ext cx="1181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aseline="0">
              <a:solidFill>
                <a:srgbClr val="B13B1B"/>
              </a:solidFill>
              <a:latin typeface="Segoe UI Black" panose="020B0A02040204020203" pitchFamily="34" charset="0"/>
              <a:ea typeface="Segoe UI Black" panose="020B0A02040204020203" pitchFamily="34" charset="0"/>
              <a:cs typeface="+mn-cs"/>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Sawant" refreshedDate="46065.6671943287" createdVersion="8" refreshedVersion="8" minRefreshableVersion="3" recordCount="1470" xr:uid="{C3D78497-0BA4-4C24-84FE-C70D82DC78D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87240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20C452-AAD8-45D5-9AC5-1488CA3567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80540-C658-4992-868F-49BB30E7E5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96824-322E-4CEE-A699-80B001F544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FAEB5-A6D4-46F5-9930-95441CDAE50A}"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CF_attrition counts" fld="18" subtotal="count" baseField="2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9F60F8-513C-4B99-A42E-B2E2FD8F24B9}"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784CC-DF26-4348-842B-12AF6673A7D4}"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4E7D17-C6E8-40A1-A74C-DE9738D49D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A7A6A-DB36-4DE8-9EBA-7ADB2A7683A3}"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DA8D26F-769E-4885-9154-BD5A04B5A2A6}" sourceName="Gender">
  <pivotTables>
    <pivotTable tabId="10" name="PivotTable3"/>
    <pivotTable tabId="14" name="Attrition by Age group"/>
    <pivotTable tabId="13" name="PivotTable6"/>
    <pivotTable tabId="12" name="Attrition by Job Role"/>
    <pivotTable tabId="11" name="Education by attrition"/>
    <pivotTable tabId="7" name="PivotTable1"/>
    <pivotTable tabId="15" name="Attrition by Marital Status"/>
    <pivotTable tabId="9" name="PivotTable2"/>
  </pivotTables>
  <data>
    <tabular pivotCacheId="6872408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D1295C-F291-48A3-8832-9A604C8F6FFA}" sourceName="Department">
  <pivotTables>
    <pivotTable tabId="14" name="Attrition by Age group"/>
    <pivotTable tabId="13" name="PivotTable6"/>
    <pivotTable tabId="12" name="Attrition by Job Role"/>
    <pivotTable tabId="11" name="Education by attrition"/>
    <pivotTable tabId="10" name="PivotTable3"/>
    <pivotTable tabId="7" name="PivotTable1"/>
    <pivotTable tabId="15" name="Attrition by Marital Status"/>
    <pivotTable tabId="9" name="PivotTable2"/>
  </pivotTables>
  <data>
    <tabular pivotCacheId="6872408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756F7167-59A1-4324-90A3-5E6731945BA9}" sourceName="Education Field">
  <pivotTables>
    <pivotTable tabId="14" name="Attrition by Age group"/>
    <pivotTable tabId="13" name="PivotTable6"/>
    <pivotTable tabId="12" name="Attrition by Job Role"/>
    <pivotTable tabId="11" name="Education by attrition"/>
    <pivotTable tabId="10" name="PivotTable3"/>
    <pivotTable tabId="7" name="PivotTable1"/>
    <pivotTable tabId="15" name="Attrition by Marital Status"/>
    <pivotTable tabId="9" name="PivotTable2"/>
  </pivotTables>
  <data>
    <tabular pivotCacheId="68724088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D75D6AF-F4E2-4530-803B-4D64A86F6ED1}" cache="Slicer_Gender1" caption="Gender" rowHeight="260350"/>
  <slicer name="Education Field" xr10:uid="{B4E2C2D4-4121-48FF-A17A-793203809666}"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9D22C2A-C726-403A-9407-35E49C613337}" cache="Slicer_Gender1" caption="Gender" columnCount="2" rowHeight="260350"/>
  <slicer name="Education Field 1" xr10:uid="{2EEEF8AF-327E-4CBD-89A5-6129E53B2567}"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A9FCEFE-114E-4D66-8AB0-AF8A2B545048}" cache="Slicer_Department" caption="Department" rowHeight="260350"/>
  <slicer name="Education Field 2" xr10:uid="{8F028499-8531-4C45-AC29-DF3AEF4948ED}"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439B651-4AA0-452F-A4E6-BBD8558A88E2}" cache="Slicer_Gender1" caption="Gender" columnCount="2" style="Slicer" rowHeight="260350"/>
  <slicer name="Department 1" xr10:uid="{BB458B43-1286-44C6-82F3-6CE17B80F696}" cache="Slicer_Department" style="Slicer" rowHeight="260350"/>
  <slicer name="Education Field 3" xr10:uid="{0911C5D0-EF6A-4D22-A132-B48229993F50}" cache="Slicer_Education_Field2"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A415-EB00-408D-AD9B-7CFA9B4FB7E0}">
  <dimension ref="A3:E8"/>
  <sheetViews>
    <sheetView topLeftCell="A6" workbookViewId="0">
      <selection activeCell="C26" sqref="C26"/>
    </sheetView>
  </sheetViews>
  <sheetFormatPr defaultRowHeight="15.6" x14ac:dyDescent="0.3"/>
  <cols>
    <col min="1" max="1" width="24.5" bestFit="1" customWidth="1"/>
    <col min="2" max="2" width="22.796875" bestFit="1" customWidth="1"/>
    <col min="3" max="3" width="13.5" bestFit="1" customWidth="1"/>
    <col min="4" max="4" width="20.3984375" bestFit="1" customWidth="1"/>
    <col min="5" max="5" width="12.3984375" bestFit="1" customWidth="1"/>
  </cols>
  <sheetData>
    <row r="3" spans="1:5" x14ac:dyDescent="0.3">
      <c r="A3" s="2" t="s">
        <v>1554</v>
      </c>
      <c r="B3" s="5" t="s">
        <v>1555</v>
      </c>
      <c r="C3" s="4" t="s">
        <v>1556</v>
      </c>
    </row>
    <row r="4" spans="1:5" x14ac:dyDescent="0.3">
      <c r="A4" s="23">
        <v>1470</v>
      </c>
      <c r="B4" s="24">
        <v>237</v>
      </c>
      <c r="C4" s="25">
        <v>36.923809523809524</v>
      </c>
    </row>
    <row r="7" spans="1:5" x14ac:dyDescent="0.3">
      <c r="A7" t="s">
        <v>1559</v>
      </c>
      <c r="B7" t="s">
        <v>1558</v>
      </c>
      <c r="C7" t="s">
        <v>1560</v>
      </c>
      <c r="D7" t="s">
        <v>1557</v>
      </c>
      <c r="E7" t="s">
        <v>1561</v>
      </c>
    </row>
    <row r="8" spans="1:5" x14ac:dyDescent="0.3">
      <c r="A8">
        <f>GETPIVOTDATA("Count of Employee Number",$A$3)</f>
        <v>1470</v>
      </c>
      <c r="B8">
        <f>GETPIVOTDATA("Sum of CF_attrition count",$A$3)</f>
        <v>237</v>
      </c>
      <c r="C8" s="8">
        <f>GETPIVOTDATA("Average of Age",$A$3)</f>
        <v>36.923809523809524</v>
      </c>
      <c r="D8">
        <f>A8-B8</f>
        <v>1233</v>
      </c>
      <c r="E8" s="9">
        <f>B8/A8</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39C7-F623-477A-9B0B-AE9F0002E1D0}">
  <dimension ref="A3:C7"/>
  <sheetViews>
    <sheetView topLeftCell="B1" workbookViewId="0">
      <selection activeCell="H22" sqref="H22"/>
    </sheetView>
  </sheetViews>
  <sheetFormatPr defaultRowHeight="15.6" x14ac:dyDescent="0.3"/>
  <cols>
    <col min="1" max="1" width="23.59765625" bestFit="1" customWidth="1"/>
  </cols>
  <sheetData>
    <row r="3" spans="1:3" x14ac:dyDescent="0.3">
      <c r="A3" s="3" t="s">
        <v>1562</v>
      </c>
    </row>
    <row r="4" spans="1:3" x14ac:dyDescent="0.3">
      <c r="A4" s="11">
        <v>2.6265306122448981</v>
      </c>
    </row>
    <row r="6" spans="1:3" x14ac:dyDescent="0.3">
      <c r="A6" t="s">
        <v>1563</v>
      </c>
      <c r="B6" s="7">
        <f>GETPIVOTDATA("Job Satisfaction",$A$3)</f>
        <v>2.6265306122448981</v>
      </c>
      <c r="C6">
        <f>B6/4</f>
        <v>0.65663265306122454</v>
      </c>
    </row>
    <row r="7" spans="1:3" x14ac:dyDescent="0.3">
      <c r="A7" t="s">
        <v>1564</v>
      </c>
      <c r="B7" s="7">
        <f>4-GETPIVOTDATA("Job Satisfaction",$A$3)</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B143-FA2B-41AF-89E5-E7531BE4D6F2}">
  <dimension ref="A3:C10"/>
  <sheetViews>
    <sheetView workbookViewId="0">
      <selection activeCell="C17" sqref="C17"/>
    </sheetView>
  </sheetViews>
  <sheetFormatPr defaultRowHeight="15.6" x14ac:dyDescent="0.3"/>
  <cols>
    <col min="1" max="1" width="12.19921875" bestFit="1" customWidth="1"/>
    <col min="2" max="2" width="21.296875" bestFit="1" customWidth="1"/>
  </cols>
  <sheetData>
    <row r="3" spans="1:3" x14ac:dyDescent="0.3">
      <c r="A3" s="12" t="s">
        <v>1565</v>
      </c>
      <c r="B3" s="3" t="s">
        <v>1567</v>
      </c>
    </row>
    <row r="4" spans="1:3" x14ac:dyDescent="0.3">
      <c r="A4" s="13" t="s">
        <v>51</v>
      </c>
      <c r="B4" s="20">
        <v>588</v>
      </c>
    </row>
    <row r="5" spans="1:3" x14ac:dyDescent="0.3">
      <c r="A5" s="14" t="s">
        <v>62</v>
      </c>
      <c r="B5" s="21">
        <v>882</v>
      </c>
    </row>
    <row r="6" spans="1:3" x14ac:dyDescent="0.3">
      <c r="A6" s="15" t="s">
        <v>1566</v>
      </c>
      <c r="B6" s="22">
        <v>1470</v>
      </c>
    </row>
    <row r="9" spans="1:3" x14ac:dyDescent="0.3">
      <c r="A9" s="16" t="s">
        <v>51</v>
      </c>
      <c r="B9">
        <f>IFERROR(GETPIVOTDATA("Employee Count",$A$3,"Gender","Female"),0)</f>
        <v>588</v>
      </c>
      <c r="C9" s="6">
        <f>IFERROR(B9/($B$9+$B$10),0)</f>
        <v>0.4</v>
      </c>
    </row>
    <row r="10" spans="1:3" x14ac:dyDescent="0.3">
      <c r="A10" s="16" t="s">
        <v>62</v>
      </c>
      <c r="B10">
        <f>IFERROR(GETPIVOTDATA("Employee Count",$A$3,"Gender","Male"),0)</f>
        <v>882</v>
      </c>
      <c r="C10" s="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2346-F5FE-47EB-A373-DF0C65F486D0}">
  <dimension ref="A3:B9"/>
  <sheetViews>
    <sheetView workbookViewId="0">
      <selection activeCell="C18" sqref="C18"/>
    </sheetView>
  </sheetViews>
  <sheetFormatPr defaultRowHeight="15.6" x14ac:dyDescent="0.3"/>
  <cols>
    <col min="1" max="1" width="16" bestFit="1" customWidth="1"/>
    <col min="2" max="2" width="25.09765625" bestFit="1" customWidth="1"/>
  </cols>
  <sheetData>
    <row r="3" spans="1:2" x14ac:dyDescent="0.3">
      <c r="A3" s="12" t="s">
        <v>1565</v>
      </c>
      <c r="B3" s="3" t="s">
        <v>1568</v>
      </c>
    </row>
    <row r="4" spans="1:2" x14ac:dyDescent="0.3">
      <c r="A4" s="13" t="s">
        <v>134</v>
      </c>
      <c r="B4" s="20">
        <v>5</v>
      </c>
    </row>
    <row r="5" spans="1:2" x14ac:dyDescent="0.3">
      <c r="A5" s="14" t="s">
        <v>65</v>
      </c>
      <c r="B5" s="21">
        <v>31</v>
      </c>
    </row>
    <row r="6" spans="1:2" x14ac:dyDescent="0.3">
      <c r="A6" s="14" t="s">
        <v>55</v>
      </c>
      <c r="B6" s="21">
        <v>44</v>
      </c>
    </row>
    <row r="7" spans="1:2" x14ac:dyDescent="0.3">
      <c r="A7" s="14" t="s">
        <v>71</v>
      </c>
      <c r="B7" s="21">
        <v>58</v>
      </c>
    </row>
    <row r="8" spans="1:2" x14ac:dyDescent="0.3">
      <c r="A8" s="14" t="s">
        <v>77</v>
      </c>
      <c r="B8" s="21">
        <v>99</v>
      </c>
    </row>
    <row r="9" spans="1:2" x14ac:dyDescent="0.3">
      <c r="A9" s="15" t="s">
        <v>1566</v>
      </c>
      <c r="B9"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51D3-656B-459A-967B-9DB612D55333}">
  <dimension ref="A3:E13"/>
  <sheetViews>
    <sheetView workbookViewId="0">
      <selection activeCell="B20" sqref="B20"/>
    </sheetView>
  </sheetViews>
  <sheetFormatPr defaultRowHeight="15.6" x14ac:dyDescent="0.3"/>
  <cols>
    <col min="1" max="1" width="23.296875" bestFit="1" customWidth="1"/>
    <col min="2" max="2" width="22.796875" bestFit="1" customWidth="1"/>
    <col min="4" max="4" width="23.296875" bestFit="1" customWidth="1"/>
    <col min="5" max="5" width="13.796875" bestFit="1" customWidth="1"/>
  </cols>
  <sheetData>
    <row r="3" spans="1:5" x14ac:dyDescent="0.3">
      <c r="A3" s="12" t="s">
        <v>1565</v>
      </c>
      <c r="B3" s="3" t="s">
        <v>1555</v>
      </c>
      <c r="D3" t="s">
        <v>9</v>
      </c>
      <c r="E3" t="s">
        <v>1558</v>
      </c>
    </row>
    <row r="4" spans="1:5" x14ac:dyDescent="0.3">
      <c r="A4" s="13" t="s">
        <v>83</v>
      </c>
      <c r="B4" s="20">
        <v>9</v>
      </c>
      <c r="D4" t="str">
        <f>A4</f>
        <v>Healthcare Representative</v>
      </c>
      <c r="E4">
        <f>GETPIVOTDATA("CF_attrition count",$A$3,"Job Role",A4)</f>
        <v>9</v>
      </c>
    </row>
    <row r="5" spans="1:5" x14ac:dyDescent="0.3">
      <c r="A5" s="14" t="s">
        <v>163</v>
      </c>
      <c r="B5" s="21">
        <v>12</v>
      </c>
      <c r="D5" t="str">
        <f t="shared" ref="D5:D12" si="0">A5</f>
        <v>Human Resources</v>
      </c>
      <c r="E5">
        <f t="shared" ref="E5:E12" si="1">GETPIVOTDATA("CF_attrition count",$A$3,"Job Role",A5)</f>
        <v>12</v>
      </c>
    </row>
    <row r="6" spans="1:5" x14ac:dyDescent="0.3">
      <c r="A6" s="14" t="s">
        <v>68</v>
      </c>
      <c r="B6" s="21">
        <v>62</v>
      </c>
      <c r="D6" t="str">
        <f t="shared" si="0"/>
        <v>Laboratory Technician</v>
      </c>
      <c r="E6">
        <f t="shared" si="1"/>
        <v>62</v>
      </c>
    </row>
    <row r="7" spans="1:5" x14ac:dyDescent="0.3">
      <c r="A7" s="14" t="s">
        <v>95</v>
      </c>
      <c r="B7" s="21">
        <v>5</v>
      </c>
      <c r="D7" t="str">
        <f t="shared" si="0"/>
        <v>Manager</v>
      </c>
      <c r="E7">
        <f t="shared" si="1"/>
        <v>5</v>
      </c>
    </row>
    <row r="8" spans="1:5" x14ac:dyDescent="0.3">
      <c r="A8" s="14" t="s">
        <v>81</v>
      </c>
      <c r="B8" s="21">
        <v>10</v>
      </c>
      <c r="D8" t="str">
        <f t="shared" si="0"/>
        <v>Manufacturing Director</v>
      </c>
      <c r="E8">
        <f t="shared" si="1"/>
        <v>10</v>
      </c>
    </row>
    <row r="9" spans="1:5" x14ac:dyDescent="0.3">
      <c r="A9" s="14" t="s">
        <v>101</v>
      </c>
      <c r="B9" s="21">
        <v>2</v>
      </c>
      <c r="D9" t="str">
        <f t="shared" si="0"/>
        <v>Research Director</v>
      </c>
      <c r="E9">
        <f t="shared" si="1"/>
        <v>2</v>
      </c>
    </row>
    <row r="10" spans="1:5" x14ac:dyDescent="0.3">
      <c r="A10" s="14" t="s">
        <v>63</v>
      </c>
      <c r="B10" s="21">
        <v>47</v>
      </c>
      <c r="D10" t="str">
        <f t="shared" si="0"/>
        <v>Research Scientist</v>
      </c>
      <c r="E10">
        <f t="shared" si="1"/>
        <v>47</v>
      </c>
    </row>
    <row r="11" spans="1:5" x14ac:dyDescent="0.3">
      <c r="A11" s="14" t="s">
        <v>52</v>
      </c>
      <c r="B11" s="21">
        <v>57</v>
      </c>
      <c r="D11" t="str">
        <f t="shared" si="0"/>
        <v>Sales Executive</v>
      </c>
      <c r="E11">
        <f t="shared" si="1"/>
        <v>57</v>
      </c>
    </row>
    <row r="12" spans="1:5" x14ac:dyDescent="0.3">
      <c r="A12" s="14" t="s">
        <v>99</v>
      </c>
      <c r="B12" s="21">
        <v>33</v>
      </c>
      <c r="D12" t="str">
        <f t="shared" si="0"/>
        <v>Sales Representative</v>
      </c>
      <c r="E12">
        <f t="shared" si="1"/>
        <v>33</v>
      </c>
    </row>
    <row r="13" spans="1:5" x14ac:dyDescent="0.3">
      <c r="A13" s="15" t="s">
        <v>1566</v>
      </c>
      <c r="B13" s="2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50B6-674E-4A9D-B651-43A77B7BAF45}">
  <dimension ref="A3:B9"/>
  <sheetViews>
    <sheetView topLeftCell="A2" workbookViewId="0">
      <selection activeCell="E19" sqref="E19"/>
    </sheetView>
  </sheetViews>
  <sheetFormatPr defaultRowHeight="15.6" x14ac:dyDescent="0.3"/>
  <cols>
    <col min="1" max="1" width="12.19921875" bestFit="1" customWidth="1"/>
    <col min="2" max="2" width="22.796875" bestFit="1" customWidth="1"/>
  </cols>
  <sheetData>
    <row r="3" spans="1:2" x14ac:dyDescent="0.3">
      <c r="A3" s="12" t="s">
        <v>1565</v>
      </c>
      <c r="B3" s="3" t="s">
        <v>1555</v>
      </c>
    </row>
    <row r="4" spans="1:2" x14ac:dyDescent="0.3">
      <c r="A4" s="13" t="s">
        <v>69</v>
      </c>
      <c r="B4" s="20">
        <v>112</v>
      </c>
    </row>
    <row r="5" spans="1:2" x14ac:dyDescent="0.3">
      <c r="A5" s="14" t="s">
        <v>46</v>
      </c>
      <c r="B5" s="21">
        <v>51</v>
      </c>
    </row>
    <row r="6" spans="1:2" x14ac:dyDescent="0.3">
      <c r="A6" s="14" t="s">
        <v>92</v>
      </c>
      <c r="B6" s="21">
        <v>38</v>
      </c>
    </row>
    <row r="7" spans="1:2" x14ac:dyDescent="0.3">
      <c r="A7" s="14" t="s">
        <v>58</v>
      </c>
      <c r="B7" s="21">
        <v>25</v>
      </c>
    </row>
    <row r="8" spans="1:2" x14ac:dyDescent="0.3">
      <c r="A8" s="14" t="s">
        <v>75</v>
      </c>
      <c r="B8" s="21">
        <v>11</v>
      </c>
    </row>
    <row r="9" spans="1:2" x14ac:dyDescent="0.3">
      <c r="A9" s="15" t="s">
        <v>1566</v>
      </c>
      <c r="B9" s="2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5A4C-B568-4238-908D-C9870B18830A}">
  <dimension ref="A3:B7"/>
  <sheetViews>
    <sheetView workbookViewId="0">
      <selection activeCell="E24" sqref="E24"/>
    </sheetView>
  </sheetViews>
  <sheetFormatPr defaultRowHeight="15.6" x14ac:dyDescent="0.3"/>
  <cols>
    <col min="1" max="1" width="12.19921875" bestFit="1" customWidth="1"/>
    <col min="2" max="2" width="22.796875" bestFit="1" customWidth="1"/>
  </cols>
  <sheetData>
    <row r="3" spans="1:2" x14ac:dyDescent="0.3">
      <c r="A3" s="12" t="s">
        <v>1565</v>
      </c>
      <c r="B3" s="3" t="s">
        <v>1555</v>
      </c>
    </row>
    <row r="4" spans="1:2" x14ac:dyDescent="0.3">
      <c r="A4" s="13" t="s">
        <v>161</v>
      </c>
      <c r="B4" s="17">
        <v>5.0632911392405063E-2</v>
      </c>
    </row>
    <row r="5" spans="1:2" x14ac:dyDescent="0.3">
      <c r="A5" s="14" t="s">
        <v>60</v>
      </c>
      <c r="B5" s="18">
        <v>0.56118143459915615</v>
      </c>
    </row>
    <row r="6" spans="1:2" x14ac:dyDescent="0.3">
      <c r="A6" s="14" t="s">
        <v>48</v>
      </c>
      <c r="B6" s="18">
        <v>0.3881856540084388</v>
      </c>
    </row>
    <row r="7" spans="1:2" x14ac:dyDescent="0.3">
      <c r="A7" s="15" t="s">
        <v>1566</v>
      </c>
      <c r="B7" s="1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1B07-6CE0-4C6B-932F-3C6AD9DC8CDD}">
  <dimension ref="A3:E7"/>
  <sheetViews>
    <sheetView workbookViewId="0">
      <selection activeCell="F24" sqref="F24"/>
    </sheetView>
  </sheetViews>
  <sheetFormatPr defaultRowHeight="15.6" x14ac:dyDescent="0.3"/>
  <cols>
    <col min="1" max="1" width="12.19921875" bestFit="1" customWidth="1"/>
    <col min="2" max="2" width="24.296875" bestFit="1" customWidth="1"/>
    <col min="4" max="4" width="12.69921875" bestFit="1" customWidth="1"/>
  </cols>
  <sheetData>
    <row r="3" spans="1:5" x14ac:dyDescent="0.3">
      <c r="A3" s="12" t="s">
        <v>1565</v>
      </c>
      <c r="B3" s="3" t="s">
        <v>1569</v>
      </c>
      <c r="D3" t="s">
        <v>10</v>
      </c>
    </row>
    <row r="4" spans="1:5" x14ac:dyDescent="0.3">
      <c r="A4" s="13" t="s">
        <v>79</v>
      </c>
      <c r="B4" s="20">
        <v>327</v>
      </c>
      <c r="D4" t="str">
        <f>A4</f>
        <v>Divorced</v>
      </c>
      <c r="E4">
        <f>GETPIVOTDATA("CF_attrition count",$A$3,"Marital Status",A4)</f>
        <v>327</v>
      </c>
    </row>
    <row r="5" spans="1:5" x14ac:dyDescent="0.3">
      <c r="A5" s="14" t="s">
        <v>53</v>
      </c>
      <c r="B5" s="21">
        <v>470</v>
      </c>
      <c r="D5" t="str">
        <f t="shared" ref="D5:D6" si="0">A5</f>
        <v>Single</v>
      </c>
      <c r="E5">
        <f t="shared" ref="E5:E6" si="1">GETPIVOTDATA("CF_attrition count",$A$3,"Marital Status",A5)</f>
        <v>470</v>
      </c>
    </row>
    <row r="6" spans="1:5" x14ac:dyDescent="0.3">
      <c r="A6" s="14" t="s">
        <v>64</v>
      </c>
      <c r="B6" s="21">
        <v>673</v>
      </c>
      <c r="D6" t="str">
        <f t="shared" si="0"/>
        <v>Married</v>
      </c>
      <c r="E6">
        <f t="shared" si="1"/>
        <v>673</v>
      </c>
    </row>
    <row r="7" spans="1:5" x14ac:dyDescent="0.3">
      <c r="A7" s="15" t="s">
        <v>1566</v>
      </c>
      <c r="B7" s="22">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90" zoomScaleNormal="90" workbookViewId="0">
      <selection activeCell="H10" sqref="H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60" zoomScaleNormal="60" workbookViewId="0">
      <selection activeCell="AC36" sqref="AC36"/>
    </sheetView>
  </sheetViews>
  <sheetFormatPr defaultColWidth="11.19921875" defaultRowHeight="15" customHeight="1" x14ac:dyDescent="0.3"/>
  <cols>
    <col min="1" max="26" width="8.59765625" style="10" customWidth="1"/>
    <col min="27" max="16384" width="11.19921875" style="10"/>
  </cols>
  <sheetData>
    <row r="1" ht="15.6" x14ac:dyDescent="0.3"/>
    <row r="2" ht="15.6" x14ac:dyDescent="0.3"/>
    <row r="3" ht="15.6" x14ac:dyDescent="0.3"/>
    <row r="4" ht="15.6" x14ac:dyDescent="0.3"/>
    <row r="5" ht="15.6" x14ac:dyDescent="0.3"/>
    <row r="6" ht="15.6" x14ac:dyDescent="0.3"/>
    <row r="7" ht="15.6" x14ac:dyDescent="0.3"/>
    <row r="8" ht="15.6" x14ac:dyDescent="0.3"/>
    <row r="9" ht="15.6" x14ac:dyDescent="0.3"/>
    <row r="10" ht="15.6" x14ac:dyDescent="0.3"/>
    <row r="11" ht="15.6" x14ac:dyDescent="0.3"/>
    <row r="12" ht="15.6" x14ac:dyDescent="0.3"/>
    <row r="13" ht="15.6" x14ac:dyDescent="0.3"/>
    <row r="14" ht="15.6" x14ac:dyDescent="0.3"/>
    <row r="15" ht="15.6" x14ac:dyDescent="0.3"/>
    <row r="16" ht="15.6" x14ac:dyDescent="0.3"/>
    <row r="17" s="10" customFormat="1" ht="15.6" x14ac:dyDescent="0.3"/>
    <row r="18" s="10" customFormat="1" ht="15.6" x14ac:dyDescent="0.3"/>
    <row r="19" s="10" customFormat="1" ht="15.6" x14ac:dyDescent="0.3"/>
    <row r="20" s="10" customFormat="1" ht="15.6"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wise attrition</vt:lpstr>
      <vt:lpstr>Attrition by Job Role</vt:lpstr>
      <vt:lpstr>Attrition by Age group</vt:lpstr>
      <vt:lpstr>Attrition by Dept</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Swati Sawant</cp:lastModifiedBy>
  <dcterms:created xsi:type="dcterms:W3CDTF">2022-12-29T16:02:46Z</dcterms:created>
  <dcterms:modified xsi:type="dcterms:W3CDTF">2026-02-14T07:31:17Z</dcterms:modified>
</cp:coreProperties>
</file>